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miconductor_Extended" sheetId="2" state="visible" r:id="rId2"/>
    <sheet xmlns:r="http://schemas.openxmlformats.org/officeDocument/2006/relationships" name="IC_Summary_Semiconductor" sheetId="3" state="visible" r:id="rId3"/>
    <sheet xmlns:r="http://schemas.openxmlformats.org/officeDocument/2006/relationships" name="TIPS_Summary_Semiconductor" sheetId="4" state="visible" r:id="rId4"/>
    <sheet xmlns:r="http://schemas.openxmlformats.org/officeDocument/2006/relationships" name="Mobility_Extended" sheetId="5" state="visible" r:id="rId5"/>
    <sheet xmlns:r="http://schemas.openxmlformats.org/officeDocument/2006/relationships" name="IC_Summary_Mobility" sheetId="6" state="visible" r:id="rId6"/>
    <sheet xmlns:r="http://schemas.openxmlformats.org/officeDocument/2006/relationships" name="TIPS_Summary_Mobility" sheetId="7" state="visible" r:id="rId7"/>
    <sheet xmlns:r="http://schemas.openxmlformats.org/officeDocument/2006/relationships" name="Adjustment" sheetId="8" state="visible" r:id="rId8"/>
  </sheets>
  <definedNames>
    <definedName name="_xlnm.Print_Area" localSheetId="2">'IC_Summary_Semiconductor'!$A$1:$L$36</definedName>
    <definedName name="_xlnm.Print_Area" localSheetId="3">'TIPS_Summary_Semiconductor'!$A$1:$L$36</definedName>
    <definedName name="_xlnm.Print_Area" localSheetId="5">'IC_Summary_Mobility'!$A$1:$L$36</definedName>
    <definedName name="_xlnm.Print_Area" localSheetId="6">'TIPS_Summary_Mobility'!$A$1:$L$36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Malgun Gothic"/>
      <b val="1"/>
      <color rgb="001F4E79"/>
      <sz val="16"/>
    </font>
    <font>
      <name val="Malgun Gothic"/>
      <b val="1"/>
      <color rgb="001F4E79"/>
      <sz val="13"/>
    </font>
    <font>
      <name val="Malgun Gothic"/>
      <sz val="10"/>
    </font>
    <font>
      <name val="Malgun Gothic"/>
      <b val="1"/>
      <color rgb="001F4E79"/>
      <sz val="15"/>
    </font>
    <font>
      <name val="Malgun Gothic"/>
      <b val="1"/>
      <color rgb="001F1F1F"/>
      <sz val="11"/>
    </font>
    <font>
      <name val="Malgun Gothic"/>
      <color rgb="000000FF"/>
      <sz val="10"/>
    </font>
    <font>
      <name val="Malgun Gothic"/>
      <b val="1"/>
      <color rgb="00FFFFFF"/>
      <sz val="11"/>
    </font>
    <font>
      <name val="Malgun Gothic"/>
      <color rgb="00000000"/>
      <sz val="10"/>
    </font>
    <font>
      <name val="Malgun Gothic"/>
      <color rgb="00666666"/>
      <sz val="10"/>
    </font>
    <font>
      <b val="1"/>
      <color rgb="001F4E78"/>
      <sz val="15"/>
    </font>
    <font>
      <b val="1"/>
      <color rgb="00FFFFFF"/>
      <sz val="11"/>
    </font>
    <font>
      <b val="1"/>
      <color rgb="00111827"/>
      <sz val="10"/>
    </font>
    <font>
      <color rgb="000000FF"/>
      <sz val="10"/>
    </font>
    <font>
      <b val="1"/>
      <color rgb="00111827"/>
      <sz val="11"/>
    </font>
    <font>
      <b val="1"/>
      <color rgb="001F4E78"/>
      <sz val="14"/>
    </font>
    <font>
      <sz val="10"/>
    </font>
    <font>
      <color rgb="00111827"/>
      <sz val="9"/>
    </font>
    <font>
      <sz val="9"/>
    </font>
    <font>
      <color rgb="00111827"/>
      <sz val="10"/>
    </font>
    <font>
      <b val="1"/>
      <color rgb="00163A5F"/>
      <sz val="16"/>
    </font>
    <font>
      <b val="1"/>
      <color rgb="00163A5F"/>
      <sz val="14"/>
    </font>
    <font>
      <b val="1"/>
      <color rgb="00163A5F"/>
      <sz val="13"/>
    </font>
    <font>
      <b val="1"/>
      <color rgb="00163A5F"/>
      <sz val="11"/>
    </font>
    <font>
      <color rgb="006B7280"/>
      <sz val="9"/>
    </font>
    <font>
      <b val="1"/>
    </font>
  </fonts>
  <fills count="1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4F7FB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3F4F6"/>
      </patternFill>
    </fill>
    <fill>
      <patternFill patternType="solid">
        <fgColor rgb="00D9F0EE"/>
      </patternFill>
    </fill>
    <fill>
      <patternFill patternType="solid">
        <fgColor rgb="00FFFFFF"/>
      </patternFill>
    </fill>
    <fill>
      <patternFill patternType="solid">
        <fgColor rgb="000F766E"/>
      </patternFill>
    </fill>
    <fill>
      <patternFill patternType="solid">
        <fgColor rgb="00DCEAF7"/>
      </patternFill>
    </fill>
    <fill>
      <patternFill patternType="solid">
        <fgColor rgb="00163A5F"/>
      </patternFill>
    </fill>
    <fill>
      <patternFill patternType="solid">
        <fgColor rgb="00FEF3C7"/>
      </patternFill>
    </fill>
  </fills>
  <borders count="1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  <border/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6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0" applyAlignment="1" pivotButton="0" quotePrefix="0" xfId="0">
      <alignment horizontal="left" vertical="center"/>
    </xf>
    <xf numFmtId="0" fontId="11" fillId="6" borderId="0" applyAlignment="1" pivotButton="0" quotePrefix="0" xfId="0">
      <alignment horizontal="left" vertical="center"/>
    </xf>
    <xf numFmtId="0" fontId="12" fillId="7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0" fontId="12" fillId="8" borderId="6" applyAlignment="1" pivotButton="0" quotePrefix="0" xfId="0">
      <alignment horizontal="left" vertical="center"/>
    </xf>
    <xf numFmtId="0" fontId="15" fillId="9" borderId="6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left" vertical="center"/>
    </xf>
    <xf numFmtId="0" fontId="16" fillId="0" borderId="6" applyAlignment="1" pivotButton="0" quotePrefix="0" xfId="0">
      <alignment horizontal="left" vertical="top" wrapText="1"/>
    </xf>
    <xf numFmtId="0" fontId="12" fillId="11" borderId="6" applyAlignment="1" pivotButton="0" quotePrefix="0" xfId="0">
      <alignment horizontal="center" vertical="center"/>
    </xf>
    <xf numFmtId="0" fontId="18" fillId="0" borderId="6" applyAlignment="1" pivotButton="0" quotePrefix="0" xfId="0">
      <alignment horizontal="left" vertical="top" wrapText="1"/>
    </xf>
    <xf numFmtId="0" fontId="17" fillId="0" borderId="6" applyAlignment="1" pivotButton="0" quotePrefix="0" xfId="0">
      <alignment horizontal="left" vertical="center"/>
    </xf>
    <xf numFmtId="0" fontId="17" fillId="0" borderId="6" applyAlignment="1" pivotButton="0" quotePrefix="0" xfId="0">
      <alignment horizontal="center" vertical="center"/>
    </xf>
    <xf numFmtId="0" fontId="19" fillId="0" borderId="16" applyAlignment="1" pivotButton="0" quotePrefix="0" xfId="0">
      <alignment horizontal="left" vertical="center"/>
    </xf>
    <xf numFmtId="0" fontId="11" fillId="12" borderId="6" applyAlignment="1" pivotButton="0" quotePrefix="0" xfId="0">
      <alignment horizontal="left" vertical="center"/>
    </xf>
    <xf numFmtId="0" fontId="19" fillId="0" borderId="6" applyAlignment="1" pivotButton="0" quotePrefix="0" xfId="0">
      <alignment horizontal="left" vertical="center" wrapText="1"/>
    </xf>
    <xf numFmtId="0" fontId="20" fillId="0" borderId="16" applyAlignment="1" pivotButton="0" quotePrefix="0" xfId="0">
      <alignment horizontal="left" vertical="center"/>
    </xf>
    <xf numFmtId="0" fontId="21" fillId="9" borderId="6" applyAlignment="1" pivotButton="0" quotePrefix="0" xfId="0">
      <alignment horizontal="center" vertical="center" wrapText="1"/>
    </xf>
    <xf numFmtId="0" fontId="11" fillId="10" borderId="6" applyAlignment="1" pivotButton="0" quotePrefix="0" xfId="0">
      <alignment horizontal="left" vertical="center"/>
    </xf>
    <xf numFmtId="0" fontId="19" fillId="0" borderId="6" applyAlignment="1" pivotButton="0" quotePrefix="0" xfId="0">
      <alignment horizontal="left" vertical="top" wrapText="1"/>
    </xf>
    <xf numFmtId="0" fontId="12" fillId="11" borderId="6" applyAlignment="1" pivotButton="0" quotePrefix="0" xfId="0">
      <alignment horizontal="left" vertical="center"/>
    </xf>
    <xf numFmtId="0" fontId="25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5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0" pivotButton="0" quotePrefix="0" xfId="0"/>
    <xf numFmtId="0" fontId="0" fillId="0" borderId="11" pivotButton="0" quotePrefix="0" xfId="0"/>
    <xf numFmtId="0" fontId="19" fillId="9" borderId="6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0" fontId="22" fillId="9" borderId="6" applyAlignment="1" pivotButton="0" quotePrefix="0" xfId="0">
      <alignment horizontal="center" vertical="center" wrapText="1"/>
    </xf>
    <xf numFmtId="0" fontId="14" fillId="10" borderId="6" applyAlignment="1" pivotButton="0" quotePrefix="0" xfId="0">
      <alignment horizontal="left" vertical="center"/>
    </xf>
    <xf numFmtId="0" fontId="14" fillId="11" borderId="6" applyAlignment="1" pivotButton="0" quotePrefix="0" xfId="0">
      <alignment horizontal="left" vertical="center"/>
    </xf>
    <xf numFmtId="0" fontId="12" fillId="8" borderId="6" applyAlignment="1" pivotButton="0" quotePrefix="0" xfId="0">
      <alignment horizontal="center" vertical="center" wrapText="1"/>
    </xf>
    <xf numFmtId="0" fontId="23" fillId="13" borderId="6" applyAlignment="1" pivotButton="0" quotePrefix="0" xfId="0">
      <alignment horizontal="center" vertical="center" wrapText="1"/>
    </xf>
    <xf numFmtId="0" fontId="17" fillId="9" borderId="6" applyAlignment="1" pivotButton="0" quotePrefix="0" xfId="0">
      <alignment horizontal="left" vertical="center" wrapText="1"/>
    </xf>
    <xf numFmtId="0" fontId="24" fillId="9" borderId="6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OpenAI</author>
  </authors>
  <commentList>
    <comment ref="F4" authorId="0" shapeId="0">
      <text>
        <t>총점 자동 계산</t>
      </text>
    </comment>
    <comment ref="F6" authorId="0" shapeId="0">
      <text>
        <t>TIPS 관련 항목 평균</t>
      </text>
    </comment>
    <comment ref="F7" authorId="0" shapeId="0">
      <text>
        <t>CVC 관련 항목 평균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F4" authorId="0" shapeId="0">
      <text>
        <t>총점 자동 계산</t>
      </text>
    </comment>
    <comment ref="F6" authorId="0" shapeId="0">
      <text>
        <t>TIPS 관련 항목 평균</t>
      </text>
    </comment>
    <comment ref="F7" authorId="0" shapeId="0">
      <text>
        <t>CVC 관련 항목 평균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14400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9334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3345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14400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0</row>
      <rowOff>0</rowOff>
    </from>
    <ext cx="9334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3345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딥테크 투자심사 점수평가표 - TIPS/CVC 확장판</t>
        </is>
      </c>
    </row>
    <row r="3">
      <c r="A3" s="2" t="inlineStr">
        <is>
          <t>구성</t>
        </is>
      </c>
    </row>
    <row r="4">
      <c r="A4" s="3" t="inlineStr">
        <is>
          <t>1. Semiconductor_Extended : 반도체 기업용 확장 점수평가표</t>
        </is>
      </c>
    </row>
    <row r="5">
      <c r="A5" s="3" t="inlineStr">
        <is>
          <t>2. Mobility_Extended : 모빌리티 기업용 확장 점수평가표</t>
        </is>
      </c>
    </row>
    <row r="6">
      <c r="A6" s="3" t="inlineStr">
        <is>
          <t>3. Adjustment : 딥테크 보정평가표</t>
        </is>
      </c>
    </row>
    <row r="7">
      <c r="A7" s="3" t="inlineStr">
        <is>
          <t>4. 모든 점수는 1~5 입력, 환산점수·총점·권고안 자동 계산</t>
        </is>
      </c>
    </row>
    <row r="8">
      <c r="A8" s="3" t="inlineStr">
        <is>
          <t>5. TIPS 적합성 및 CVC 매칭 가능성 항목이 추가된 버전</t>
        </is>
      </c>
    </row>
    <row r="11">
      <c r="A11" s="2" t="inlineStr">
        <is>
          <t>점수 기준</t>
        </is>
      </c>
    </row>
    <row r="12">
      <c r="A12" s="3" t="inlineStr">
        <is>
          <t>5점 매우 우수</t>
        </is>
      </c>
    </row>
    <row r="13">
      <c r="A13" s="3" t="inlineStr">
        <is>
          <t>4점 우수</t>
        </is>
      </c>
    </row>
    <row r="14">
      <c r="A14" s="3" t="inlineStr">
        <is>
          <t>3점 보통</t>
        </is>
      </c>
    </row>
    <row r="15">
      <c r="A15" s="3" t="inlineStr">
        <is>
          <t>2점 미흡</t>
        </is>
      </c>
    </row>
    <row r="16">
      <c r="A16" s="3" t="inlineStr">
        <is>
          <t>1점 매우 미흡</t>
        </is>
      </c>
    </row>
    <row r="19">
      <c r="A19" s="2" t="inlineStr">
        <is>
          <t>권고안 기준</t>
        </is>
      </c>
    </row>
    <row r="20">
      <c r="A20" s="41" t="inlineStr">
        <is>
          <t>Update</t>
        </is>
      </c>
      <c r="B20" s="42" t="inlineStr">
        <is>
          <t>TIPS 요약 시트에 일반트랙/딥테크트랙 자동 판정 로직 추가</t>
        </is>
      </c>
    </row>
    <row r="21">
      <c r="A21" s="3" t="inlineStr">
        <is>
          <t>70~84점 조건부 투자검토</t>
        </is>
      </c>
    </row>
    <row r="22">
      <c r="A22" s="3" t="inlineStr">
        <is>
          <t>55~69점 PoC/보육 우선</t>
        </is>
      </c>
    </row>
    <row r="23">
      <c r="A23" s="3" t="inlineStr">
        <is>
          <t>54점 이하 부적합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9" customWidth="1" min="3" max="3"/>
    <col width="11" customWidth="1" min="4" max="4"/>
    <col width="11" customWidth="1" min="5" max="5"/>
    <col width="42" customWidth="1" min="6" max="6"/>
  </cols>
  <sheetData>
    <row r="1">
      <c r="A1" s="4" t="inlineStr">
        <is>
          <t>반도체 투자심사 점수평가표 - TIPS/CVC 확장판</t>
        </is>
      </c>
    </row>
    <row r="3">
      <c r="A3" s="2" t="inlineStr">
        <is>
          <t>기본정보</t>
        </is>
      </c>
    </row>
    <row r="4">
      <c r="A4" s="5" t="inlineStr">
        <is>
          <t>기업명</t>
        </is>
      </c>
      <c r="B4" s="6" t="inlineStr"/>
      <c r="E4" s="7" t="inlineStr">
        <is>
          <t>총점</t>
        </is>
      </c>
      <c r="F4" s="8">
        <f>SUM(E16:E31)</f>
        <v/>
      </c>
    </row>
    <row r="5">
      <c r="A5" s="5" t="inlineStr">
        <is>
          <t>대표자</t>
        </is>
      </c>
      <c r="B5" s="6" t="inlineStr"/>
      <c r="E5" s="7" t="inlineStr">
        <is>
          <t>권고안</t>
        </is>
      </c>
      <c r="F5" s="8">
        <f>IF(F4&gt;=85,"적극 투자검토",IF(F4&gt;=70,"조건부 투자검토",IF(F4&gt;=55,"PoC/보육 우선","부적합")))</f>
        <v/>
      </c>
    </row>
    <row r="6">
      <c r="A6" s="5" t="inlineStr">
        <is>
          <t>검토일</t>
        </is>
      </c>
      <c r="B6" s="6" t="inlineStr"/>
      <c r="E6" s="7" t="inlineStr">
        <is>
          <t>TIPS 평균점수</t>
        </is>
      </c>
      <c r="F6" s="8">
        <f>ROUND(AVERAGE(D29:D30),1)</f>
        <v/>
      </c>
    </row>
    <row r="7">
      <c r="A7" s="5" t="inlineStr">
        <is>
          <t>심사역</t>
        </is>
      </c>
      <c r="B7" s="6" t="inlineStr"/>
      <c r="E7" s="7" t="inlineStr">
        <is>
          <t>CVC 평균점수</t>
        </is>
      </c>
      <c r="F7" s="8">
        <f>ROUND(AVERAGE(D27:D28),1)</f>
        <v/>
      </c>
    </row>
    <row r="8">
      <c r="A8" s="5" t="inlineStr">
        <is>
          <t>기술 분야</t>
        </is>
      </c>
      <c r="B8" s="6" t="inlineStr">
        <is>
          <t>반도체</t>
        </is>
      </c>
    </row>
    <row r="9">
      <c r="A9" s="5" t="inlineStr">
        <is>
          <t>단계</t>
        </is>
      </c>
      <c r="B9" s="6" t="inlineStr">
        <is>
          <t>Pre-seed / Seed / Series A-</t>
        </is>
      </c>
    </row>
    <row r="10">
      <c r="A10" s="5" t="inlineStr">
        <is>
          <t>검토 목적</t>
        </is>
      </c>
      <c r="B10" s="6" t="inlineStr">
        <is>
          <t>투자심사 / IC 상정 전 검토</t>
        </is>
      </c>
    </row>
    <row r="14">
      <c r="A14" s="2" t="inlineStr">
        <is>
          <t>점수평가표</t>
        </is>
      </c>
    </row>
    <row r="15">
      <c r="A15" s="7" t="inlineStr">
        <is>
          <t>평가영역</t>
        </is>
      </c>
      <c r="B15" s="7" t="inlineStr">
        <is>
          <t>세부항목</t>
        </is>
      </c>
      <c r="C15" s="7" t="inlineStr">
        <is>
          <t>배점</t>
        </is>
      </c>
      <c r="D15" s="7" t="inlineStr">
        <is>
          <t>점수(1~5)</t>
        </is>
      </c>
      <c r="E15" s="7" t="inlineStr">
        <is>
          <t>환산점수</t>
        </is>
      </c>
      <c r="F15" s="7" t="inlineStr">
        <is>
          <t>평가코멘트</t>
        </is>
      </c>
    </row>
    <row r="16">
      <c r="A16" s="9" t="inlineStr">
        <is>
          <t>기술성</t>
        </is>
      </c>
      <c r="B16" s="10" t="inlineStr">
        <is>
          <t>핵심기술 차별성</t>
        </is>
      </c>
      <c r="C16" s="11" t="n">
        <v>8</v>
      </c>
      <c r="D16" s="12" t="inlineStr"/>
      <c r="E16" s="13">
        <f>IF(D16="",0,D16/5*C16)</f>
        <v/>
      </c>
      <c r="F16" s="10" t="inlineStr"/>
    </row>
    <row r="17">
      <c r="A17" s="9" t="inlineStr">
        <is>
          <t>기술성</t>
        </is>
      </c>
      <c r="B17" s="10" t="inlineStr">
        <is>
          <t>성능 검증 수준</t>
        </is>
      </c>
      <c r="C17" s="11" t="n">
        <v>8</v>
      </c>
      <c r="D17" s="12" t="inlineStr"/>
      <c r="E17" s="13">
        <f>IF(D17="",0,D17/5*C17)</f>
        <v/>
      </c>
      <c r="F17" s="10" t="inlineStr"/>
    </row>
    <row r="18">
      <c r="A18" s="9" t="inlineStr">
        <is>
          <t>기술성</t>
        </is>
      </c>
      <c r="B18" s="10" t="inlineStr">
        <is>
          <t>재현성/반복성</t>
        </is>
      </c>
      <c r="C18" s="11" t="n">
        <v>6</v>
      </c>
      <c r="D18" s="12" t="inlineStr"/>
      <c r="E18" s="13">
        <f>IF(D18="",0,D18/5*C18)</f>
        <v/>
      </c>
      <c r="F18" s="10" t="inlineStr"/>
    </row>
    <row r="19">
      <c r="A19" s="9" t="inlineStr">
        <is>
          <t>공정 적합성</t>
        </is>
      </c>
      <c r="B19" s="10" t="inlineStr">
        <is>
          <t>공정 적용 가능성</t>
        </is>
      </c>
      <c r="C19" s="11" t="n">
        <v>9</v>
      </c>
      <c r="D19" s="12" t="inlineStr"/>
      <c r="E19" s="13">
        <f>IF(D19="",0,D19/5*C19)</f>
        <v/>
      </c>
      <c r="F19" s="10" t="inlineStr"/>
    </row>
    <row r="20">
      <c r="A20" s="9" t="inlineStr">
        <is>
          <t>공정 적합성</t>
        </is>
      </c>
      <c r="B20" s="10" t="inlineStr">
        <is>
          <t>고객 도입 난이도</t>
        </is>
      </c>
      <c r="C20" s="11" t="n">
        <v>7</v>
      </c>
      <c r="D20" s="12" t="inlineStr"/>
      <c r="E20" s="13">
        <f>IF(D20="",0,D20/5*C20)</f>
        <v/>
      </c>
      <c r="F20" s="10" t="inlineStr"/>
    </row>
    <row r="21">
      <c r="A21" s="9" t="inlineStr">
        <is>
          <t>양산성</t>
        </is>
      </c>
      <c r="B21" s="10" t="inlineStr">
        <is>
          <t>수율/스케일업 가능성</t>
        </is>
      </c>
      <c r="C21" s="11" t="n">
        <v>9</v>
      </c>
      <c r="D21" s="12" t="inlineStr"/>
      <c r="E21" s="13">
        <f>IF(D21="",0,D21/5*C21)</f>
        <v/>
      </c>
      <c r="F21" s="10" t="inlineStr"/>
    </row>
    <row r="22">
      <c r="A22" s="9" t="inlineStr">
        <is>
          <t>양산성</t>
        </is>
      </c>
      <c r="B22" s="10" t="inlineStr">
        <is>
          <t>원가 및 생산성</t>
        </is>
      </c>
      <c r="C22" s="11" t="n">
        <v>6</v>
      </c>
      <c r="D22" s="12" t="inlineStr"/>
      <c r="E22" s="13">
        <f>IF(D22="",0,D22/5*C22)</f>
        <v/>
      </c>
      <c r="F22" s="10" t="inlineStr"/>
    </row>
    <row r="23">
      <c r="A23" s="9" t="inlineStr">
        <is>
          <t>신뢰성</t>
        </is>
      </c>
      <c r="B23" s="10" t="inlineStr">
        <is>
          <t>품질/신뢰성 수준</t>
        </is>
      </c>
      <c r="C23" s="11" t="n">
        <v>7</v>
      </c>
      <c r="D23" s="12" t="inlineStr"/>
      <c r="E23" s="13">
        <f>IF(D23="",0,D23/5*C23)</f>
        <v/>
      </c>
      <c r="F23" s="10" t="inlineStr"/>
    </row>
    <row r="24">
      <c r="A24" s="9" t="inlineStr">
        <is>
          <t>IP</t>
        </is>
      </c>
      <c r="B24" s="10" t="inlineStr">
        <is>
          <t>특허/진입장벽</t>
        </is>
      </c>
      <c r="C24" s="11" t="n">
        <v>6</v>
      </c>
      <c r="D24" s="12" t="inlineStr"/>
      <c r="E24" s="13">
        <f>IF(D24="",0,D24/5*C24)</f>
        <v/>
      </c>
      <c r="F24" s="10" t="inlineStr"/>
    </row>
    <row r="25">
      <c r="A25" s="9" t="inlineStr">
        <is>
          <t>시장성</t>
        </is>
      </c>
      <c r="B25" s="10" t="inlineStr">
        <is>
          <t>고객명확성/시장성</t>
        </is>
      </c>
      <c r="C25" s="11" t="n">
        <v>6</v>
      </c>
      <c r="D25" s="12" t="inlineStr"/>
      <c r="E25" s="13">
        <f>IF(D25="",0,D25/5*C25)</f>
        <v/>
      </c>
      <c r="F25" s="10" t="inlineStr"/>
    </row>
    <row r="26">
      <c r="A26" s="9" t="inlineStr">
        <is>
          <t>사업화</t>
        </is>
      </c>
      <c r="B26" s="10" t="inlineStr">
        <is>
          <t>샘플→매출 전환 경로</t>
        </is>
      </c>
      <c r="C26" s="11" t="n">
        <v>6</v>
      </c>
      <c r="D26" s="12" t="inlineStr"/>
      <c r="E26" s="13">
        <f>IF(D26="",0,D26/5*C26)</f>
        <v/>
      </c>
      <c r="F26" s="10" t="inlineStr"/>
    </row>
    <row r="27">
      <c r="A27" s="9" t="inlineStr">
        <is>
          <t>전략성</t>
        </is>
      </c>
      <c r="B27" s="10" t="inlineStr">
        <is>
          <t>CVC 전략 적합성</t>
        </is>
      </c>
      <c r="C27" s="11" t="n">
        <v>5</v>
      </c>
      <c r="D27" s="12" t="inlineStr"/>
      <c r="E27" s="13">
        <f>IF(D27="",0,D27/5*C27)</f>
        <v/>
      </c>
      <c r="F27" s="10" t="inlineStr"/>
    </row>
    <row r="28">
      <c r="A28" s="9" t="inlineStr">
        <is>
          <t>전략성</t>
        </is>
      </c>
      <c r="B28" s="10" t="inlineStr">
        <is>
          <t>CVC 전환 가능성</t>
        </is>
      </c>
      <c r="C28" s="11" t="n">
        <v>4</v>
      </c>
      <c r="D28" s="12" t="inlineStr"/>
      <c r="E28" s="13">
        <f>IF(D28="",0,D28/5*C28)</f>
        <v/>
      </c>
      <c r="F28" s="10" t="inlineStr"/>
    </row>
    <row r="29">
      <c r="A29" s="9" t="inlineStr">
        <is>
          <t>정책연계</t>
        </is>
      </c>
      <c r="B29" s="10" t="inlineStr">
        <is>
          <t>TIPS 적합성</t>
        </is>
      </c>
      <c r="C29" s="11" t="n">
        <v>4</v>
      </c>
      <c r="D29" s="12" t="inlineStr"/>
      <c r="E29" s="13">
        <f>IF(D29="",0,D29/5*C29)</f>
        <v/>
      </c>
      <c r="F29" s="10" t="inlineStr"/>
    </row>
    <row r="30">
      <c r="A30" s="9" t="inlineStr">
        <is>
          <t>정책연계</t>
        </is>
      </c>
      <c r="B30" s="10" t="inlineStr">
        <is>
          <t>TIPS 실행 준비도</t>
        </is>
      </c>
      <c r="C30" s="11" t="n">
        <v>4</v>
      </c>
      <c r="D30" s="12" t="inlineStr"/>
      <c r="E30" s="13">
        <f>IF(D30="",0,D30/5*C30)</f>
        <v/>
      </c>
      <c r="F30" s="10" t="inlineStr"/>
    </row>
    <row r="31">
      <c r="A31" s="9" t="inlineStr">
        <is>
          <t>팀</t>
        </is>
      </c>
      <c r="B31" s="10" t="inlineStr">
        <is>
          <t>창업팀 전문성 및 실행력</t>
        </is>
      </c>
      <c r="C31" s="11" t="n">
        <v>5</v>
      </c>
      <c r="D31" s="12" t="inlineStr"/>
      <c r="E31" s="13">
        <f>IF(D31="",0,D31/5*C31)</f>
        <v/>
      </c>
      <c r="F31" s="10" t="inlineStr"/>
    </row>
    <row r="32">
      <c r="A32" s="14" t="inlineStr">
        <is>
          <t>총점</t>
        </is>
      </c>
      <c r="B32" s="19" t="n"/>
      <c r="C32" s="19" t="n"/>
      <c r="D32" s="20" t="n"/>
      <c r="E32" s="14">
        <f>SUM(E16:E31)</f>
        <v/>
      </c>
    </row>
    <row r="34">
      <c r="A34" s="2" t="inlineStr">
        <is>
          <t>총평</t>
        </is>
      </c>
    </row>
    <row r="35">
      <c r="A35" s="15" t="inlineStr">
        <is>
          <t>강점</t>
        </is>
      </c>
      <c r="B35" s="16" t="n"/>
      <c r="C35" s="19" t="n"/>
      <c r="D35" s="19" t="n"/>
      <c r="E35" s="19" t="n"/>
      <c r="F35" s="20" t="n"/>
    </row>
    <row r="36">
      <c r="A36" s="15" t="inlineStr">
        <is>
          <t>핵심 리스크</t>
        </is>
      </c>
      <c r="B36" s="16" t="n"/>
      <c r="C36" s="19" t="n"/>
      <c r="D36" s="19" t="n"/>
      <c r="E36" s="19" t="n"/>
      <c r="F36" s="20" t="n"/>
    </row>
    <row r="37">
      <c r="A37" s="15" t="inlineStr">
        <is>
          <t>필수 보완과제</t>
        </is>
      </c>
      <c r="B37" s="16" t="n"/>
      <c r="C37" s="19" t="n"/>
      <c r="D37" s="19" t="n"/>
      <c r="E37" s="19" t="n"/>
      <c r="F37" s="20" t="n"/>
    </row>
    <row r="38">
      <c r="A38" s="15" t="inlineStr">
        <is>
          <t>IC 상정 권고 여부</t>
        </is>
      </c>
      <c r="B38" s="16" t="n"/>
      <c r="C38" s="19" t="n"/>
      <c r="D38" s="19" t="n"/>
      <c r="E38" s="19" t="n"/>
      <c r="F38" s="20" t="n"/>
    </row>
  </sheetData>
  <mergeCells count="5">
    <mergeCell ref="B38:F38"/>
    <mergeCell ref="B37:F37"/>
    <mergeCell ref="B36:F36"/>
    <mergeCell ref="A32:D32"/>
    <mergeCell ref="B35:F35"/>
  </mergeCells>
  <conditionalFormatting sqref="D16:D31">
    <cfRule type="cellIs" priority="1" operator="equal" dxfId="0">
      <formula>5</formula>
    </cfRule>
    <cfRule type="cellIs" priority="2" operator="lessThan" dxfId="1">
      <formula>3</formula>
    </cfRule>
  </conditionalFormatting>
  <dataValidations count="1">
    <dataValidation sqref="D16 D17 D18 D19 D20 D21 D22 D23 D24 D25 D26 D27 D28 D29 D30 D31" showDropDown="0" showInputMessage="0" showErrorMessage="0" allowBlank="1" error="1~5만 입력하세요." prompt="1~5 점수 입력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8" customHeight="1">
      <c r="A1" s="33" t="n"/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</row>
    <row r="2" ht="46" customHeight="1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</row>
    <row r="3" ht="22" customHeight="1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</row>
    <row r="4" ht="22" customHeight="1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</row>
    <row r="5" ht="22" customHeight="1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 ht="22" customHeight="1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 ht="22" customHeight="1">
      <c r="A7" s="34" t="inlineStr">
        <is>
          <t>문서 메타정보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4" t="n"/>
    </row>
    <row r="8" ht="22" customHeight="1">
      <c r="A8" s="23" t="inlineStr">
        <is>
          <t>회사명</t>
        </is>
      </c>
      <c r="B8" s="35" t="inlineStr">
        <is>
          <t>Your Company Name</t>
        </is>
      </c>
      <c r="C8" s="23" t="inlineStr">
        <is>
          <t>문서번호</t>
        </is>
      </c>
      <c r="D8" s="35" t="inlineStr">
        <is>
          <t>IC-SEMI-2026-001</t>
        </is>
      </c>
      <c r="E8" s="23" t="inlineStr">
        <is>
          <t>버전</t>
        </is>
      </c>
      <c r="F8" s="35" t="inlineStr">
        <is>
          <t>v1.0</t>
        </is>
      </c>
      <c r="G8" s="23" t="inlineStr">
        <is>
          <t>검토상태</t>
        </is>
      </c>
      <c r="H8" s="35" t="inlineStr">
        <is>
          <t>Draft</t>
        </is>
      </c>
      <c r="I8" s="23" t="inlineStr">
        <is>
          <t>보안등급</t>
        </is>
      </c>
      <c r="J8" s="35" t="inlineStr">
        <is>
          <t>Internal Use Only</t>
        </is>
      </c>
      <c r="K8" s="23" t="inlineStr">
        <is>
          <t>로고</t>
        </is>
      </c>
      <c r="L8" s="35" t="inlineStr">
        <is>
          <t>상단 배너 참조</t>
        </is>
      </c>
    </row>
    <row r="9" ht="22" customHeight="1">
      <c r="A9" s="23" t="inlineStr">
        <is>
          <t>작성</t>
        </is>
      </c>
      <c r="B9" s="35" t="inlineStr">
        <is>
          <t>심사팀</t>
        </is>
      </c>
      <c r="C9" s="23" t="inlineStr">
        <is>
          <t>검토</t>
        </is>
      </c>
      <c r="D9" s="35" t="inlineStr">
        <is>
          <t>투자본부장</t>
        </is>
      </c>
      <c r="E9" s="23" t="inlineStr">
        <is>
          <t>승인</t>
        </is>
      </c>
      <c r="F9" s="35" t="inlineStr">
        <is>
          <t>대표/파트너</t>
        </is>
      </c>
      <c r="G9" s="23" t="inlineStr">
        <is>
          <t>제출대상</t>
        </is>
      </c>
      <c r="H9" s="35" t="inlineStr">
        <is>
          <t>IC</t>
        </is>
      </c>
      <c r="I9" s="23" t="inlineStr">
        <is>
          <t>업종</t>
        </is>
      </c>
      <c r="J9" s="35" t="inlineStr">
        <is>
          <t>Semiconductor</t>
        </is>
      </c>
      <c r="K9" s="23" t="inlineStr">
        <is>
          <t>양식</t>
        </is>
      </c>
      <c r="L9" s="35" t="inlineStr">
        <is>
          <t>1-Page Summary</t>
        </is>
      </c>
    </row>
    <row r="10" ht="28" customHeight="1">
      <c r="A10" s="36" t="inlineStr">
        <is>
          <t>Semiconductor 투자심사 IC 요약서</t>
        </is>
      </c>
    </row>
    <row r="11" ht="22" customHeight="1">
      <c r="A11" s="34" t="inlineStr">
        <is>
          <t>1. 기본정보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4" t="n"/>
    </row>
    <row r="12" ht="22" customHeight="1">
      <c r="A12" s="23" t="inlineStr">
        <is>
          <t>기업명</t>
        </is>
      </c>
      <c r="B12" s="35">
        <f>'Semiconductor_Extended'!B4</f>
        <v/>
      </c>
      <c r="C12" s="44" t="n"/>
      <c r="D12" s="23" t="inlineStr">
        <is>
          <t>대표자</t>
        </is>
      </c>
      <c r="E12" s="35">
        <f>'Semiconductor_Extended'!B5</f>
        <v/>
      </c>
      <c r="F12" s="44" t="n"/>
      <c r="G12" s="23" t="inlineStr">
        <is>
          <t>검토일</t>
        </is>
      </c>
      <c r="H12" s="35">
        <f>'Semiconductor_Extended'!B6</f>
        <v/>
      </c>
      <c r="I12" s="44" t="n"/>
      <c r="J12" s="33" t="n"/>
      <c r="K12" s="33" t="n"/>
      <c r="L12" s="33" t="n"/>
    </row>
    <row r="13" ht="22" customHeight="1">
      <c r="A13" s="23" t="inlineStr">
        <is>
          <t>심사역</t>
        </is>
      </c>
      <c r="B13" s="35">
        <f>'Semiconductor_Extended'!B7</f>
        <v/>
      </c>
      <c r="C13" s="44" t="n"/>
      <c r="D13" s="23" t="inlineStr">
        <is>
          <t>기술 분야</t>
        </is>
      </c>
      <c r="E13" s="35">
        <f>'Semiconductor_Extended'!B8</f>
        <v/>
      </c>
      <c r="F13" s="44" t="n"/>
      <c r="G13" s="23" t="inlineStr">
        <is>
          <t>단계</t>
        </is>
      </c>
      <c r="H13" s="35">
        <f>'Semiconductor_Extended'!B9</f>
        <v/>
      </c>
      <c r="I13" s="43" t="n"/>
      <c r="J13" s="43" t="n"/>
      <c r="K13" s="43" t="n"/>
      <c r="L13" s="44" t="n"/>
    </row>
    <row r="14" ht="22" customHeight="1">
      <c r="A14" s="23" t="inlineStr">
        <is>
          <t>검토 목적</t>
        </is>
      </c>
      <c r="B14" s="35">
        <f>'Semiconductor_Extended'!B10</f>
        <v/>
      </c>
      <c r="C14" s="44" t="n"/>
      <c r="D14" s="23" t="inlineStr">
        <is>
          <t>총점</t>
        </is>
      </c>
      <c r="E14" s="35">
        <f>'Semiconductor_Extended'!F4</f>
        <v/>
      </c>
      <c r="F14" s="44" t="n"/>
      <c r="G14" s="23" t="inlineStr">
        <is>
          <t>권고안</t>
        </is>
      </c>
      <c r="H14" s="35">
        <f>'Semiconductor_Extended'!F5</f>
        <v/>
      </c>
      <c r="I14" s="43" t="n"/>
      <c r="J14" s="43" t="n"/>
      <c r="K14" s="43" t="n"/>
      <c r="L14" s="44" t="n"/>
    </row>
    <row r="15" ht="22" customHeight="1">
      <c r="A15" s="34" t="inlineStr">
        <is>
          <t>2. 핵심 지표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4" t="n"/>
    </row>
    <row r="16" ht="22" customHeight="1">
      <c r="A16" s="25" t="inlineStr">
        <is>
          <t>총점</t>
        </is>
      </c>
      <c r="B16" s="43" t="n"/>
      <c r="C16" s="44" t="n"/>
      <c r="D16" s="25" t="inlineStr">
        <is>
          <t>권고안</t>
        </is>
      </c>
      <c r="E16" s="43" t="n"/>
      <c r="F16" s="44" t="n"/>
      <c r="G16" s="25" t="inlineStr">
        <is>
          <t>TIPS 평균점수</t>
        </is>
      </c>
      <c r="H16" s="43" t="n"/>
      <c r="I16" s="44" t="n"/>
      <c r="J16" s="25" t="inlineStr">
        <is>
          <t>CVC 평균점수</t>
        </is>
      </c>
      <c r="K16" s="43" t="n"/>
      <c r="L16" s="44" t="n"/>
    </row>
    <row r="17" ht="22" customHeight="1">
      <c r="A17" s="37">
        <f>'Semiconductor_Extended'!F4</f>
        <v/>
      </c>
      <c r="B17" s="45" t="n"/>
      <c r="C17" s="46" t="n"/>
      <c r="D17" s="37">
        <f>'Semiconductor_Extended'!F5</f>
        <v/>
      </c>
      <c r="E17" s="45" t="n"/>
      <c r="F17" s="46" t="n"/>
      <c r="G17" s="37">
        <f>'Semiconductor_Extended'!F6</f>
        <v/>
      </c>
      <c r="H17" s="45" t="n"/>
      <c r="I17" s="46" t="n"/>
      <c r="J17" s="37">
        <f>'Semiconductor_Extended'!F7</f>
        <v/>
      </c>
      <c r="K17" s="45" t="n"/>
      <c r="L17" s="46" t="n"/>
    </row>
    <row r="18" ht="22" customHeight="1">
      <c r="A18" s="47" t="n"/>
      <c r="B18" s="48" t="n"/>
      <c r="C18" s="49" t="n"/>
      <c r="D18" s="47" t="n"/>
      <c r="E18" s="48" t="n"/>
      <c r="F18" s="49" t="n"/>
      <c r="G18" s="47" t="n"/>
      <c r="H18" s="48" t="n"/>
      <c r="I18" s="49" t="n"/>
      <c r="J18" s="47" t="n"/>
      <c r="K18" s="48" t="n"/>
      <c r="L18" s="49" t="n"/>
    </row>
    <row r="19" ht="22" customHeight="1">
      <c r="A19" s="38" t="inlineStr">
        <is>
          <t>3. 상위 강점</t>
        </is>
      </c>
      <c r="B19" s="43" t="n"/>
      <c r="C19" s="43" t="n"/>
      <c r="D19" s="44" t="n"/>
      <c r="E19" s="38" t="inlineStr">
        <is>
          <t>4. 핵심 리스크</t>
        </is>
      </c>
      <c r="F19" s="43" t="n"/>
      <c r="G19" s="43" t="n"/>
      <c r="H19" s="44" t="n"/>
      <c r="I19" s="38" t="inlineStr">
        <is>
          <t>5. IC 액션 포인트</t>
        </is>
      </c>
      <c r="J19" s="43" t="n"/>
      <c r="K19" s="43" t="n"/>
      <c r="L19" s="44" t="n"/>
    </row>
    <row r="20" ht="22" customHeight="1">
      <c r="A20" s="39" t="inlineStr">
        <is>
          <t>• 핵심기술 차별성
• 사업화 경로 명확성
• 팀 실행력</t>
        </is>
      </c>
      <c r="B20" s="45" t="n"/>
      <c r="C20" s="45" t="n"/>
      <c r="D20" s="46" t="n"/>
      <c r="E20" s="39" t="inlineStr">
        <is>
          <t>• 기술/성능 불확실성
• 양산/실증 지연
• 규제/고객 도입 리스크</t>
        </is>
      </c>
      <c r="F20" s="45" t="n"/>
      <c r="G20" s="45" t="n"/>
      <c r="H20" s="46" t="n"/>
      <c r="I20" s="39" t="inlineStr">
        <is>
          <t>• 즉시 투자
• 조건부 투자
• PoC 우선
• 보육 우선</t>
        </is>
      </c>
      <c r="J20" s="45" t="n"/>
      <c r="K20" s="45" t="n"/>
      <c r="L20" s="46" t="n"/>
    </row>
    <row r="21" ht="22" customHeight="1">
      <c r="A21" s="50" t="n"/>
      <c r="D21" s="51" t="n"/>
      <c r="E21" s="50" t="n"/>
      <c r="H21" s="51" t="n"/>
      <c r="I21" s="50" t="n"/>
      <c r="L21" s="51" t="n"/>
    </row>
    <row r="22" ht="22" customHeight="1">
      <c r="A22" s="50" t="n"/>
      <c r="D22" s="51" t="n"/>
      <c r="E22" s="50" t="n"/>
      <c r="H22" s="51" t="n"/>
      <c r="I22" s="50" t="n"/>
      <c r="L22" s="51" t="n"/>
    </row>
    <row r="23" ht="22" customHeight="1">
      <c r="A23" s="50" t="n"/>
      <c r="D23" s="51" t="n"/>
      <c r="E23" s="50" t="n"/>
      <c r="H23" s="51" t="n"/>
      <c r="I23" s="50" t="n"/>
      <c r="L23" s="51" t="n"/>
    </row>
    <row r="24" ht="22" customHeight="1">
      <c r="A24" s="47" t="n"/>
      <c r="B24" s="48" t="n"/>
      <c r="C24" s="48" t="n"/>
      <c r="D24" s="49" t="n"/>
      <c r="E24" s="47" t="n"/>
      <c r="F24" s="48" t="n"/>
      <c r="G24" s="48" t="n"/>
      <c r="H24" s="49" t="n"/>
      <c r="I24" s="47" t="n"/>
      <c r="J24" s="48" t="n"/>
      <c r="K24" s="48" t="n"/>
      <c r="L24" s="49" t="n"/>
    </row>
    <row r="25" ht="22" customHeight="1">
      <c r="A25" s="34" t="inlineStr">
        <is>
          <t>6. 항목별 점수 요약</t>
        </is>
      </c>
      <c r="B25" s="43" t="n"/>
      <c r="C25" s="43" t="n"/>
      <c r="D25" s="43" t="n"/>
      <c r="E25" s="43" t="n"/>
      <c r="F25" s="43" t="n"/>
      <c r="G25" s="43" t="n"/>
      <c r="H25" s="44" t="n"/>
      <c r="I25" s="34" t="inlineStr">
        <is>
          <t>7. 심의 및 후속조치</t>
        </is>
      </c>
      <c r="J25" s="43" t="n"/>
      <c r="K25" s="43" t="n"/>
      <c r="L25" s="44" t="n"/>
    </row>
    <row r="26" ht="22" customHeight="1">
      <c r="A26" s="29" t="inlineStr">
        <is>
          <t>평가영역</t>
        </is>
      </c>
      <c r="B26" s="29" t="inlineStr">
        <is>
          <t>배점</t>
        </is>
      </c>
      <c r="C26" s="29" t="inlineStr">
        <is>
          <t>입력점수</t>
        </is>
      </c>
      <c r="D26" s="29" t="inlineStr">
        <is>
          <t>환산점수</t>
        </is>
      </c>
      <c r="E26" s="33" t="n"/>
      <c r="F26" s="33" t="n"/>
      <c r="G26" s="33" t="n"/>
      <c r="H26" s="33" t="n"/>
      <c r="I26" s="40" t="inlineStr">
        <is>
          <t>투자조건 제안</t>
        </is>
      </c>
      <c r="J26" s="44" t="n"/>
      <c r="K26" s="40" t="inlineStr">
        <is>
          <t>후속 일정</t>
        </is>
      </c>
      <c r="L26" s="44" t="n"/>
    </row>
    <row r="27" ht="22" customHeight="1">
      <c r="A27" s="31">
        <f>'Semiconductor_Extended'!A16</f>
        <v/>
      </c>
      <c r="B27" s="32">
        <f>'Semiconductor_Extended'!C16</f>
        <v/>
      </c>
      <c r="C27" s="32">
        <f>'Semiconductor_Extended'!D16</f>
        <v/>
      </c>
      <c r="D27" s="32">
        <f>'Semiconductor_Extended'!E16</f>
        <v/>
      </c>
      <c r="E27" s="33" t="n"/>
      <c r="F27" s="33" t="n"/>
      <c r="G27" s="33" t="n"/>
      <c r="H27" s="33" t="n"/>
      <c r="I27" s="39" t="inlineStr">
        <is>
          <t>금액 / 구조 / 주요 조건</t>
        </is>
      </c>
      <c r="J27" s="46" t="n"/>
      <c r="K27" s="39" t="inlineStr">
        <is>
          <t>실사 / IC / 계약 / 집행 일정</t>
        </is>
      </c>
      <c r="L27" s="46" t="n"/>
    </row>
    <row r="28" ht="22" customHeight="1">
      <c r="A28" s="31">
        <f>'Semiconductor_Extended'!A17</f>
        <v/>
      </c>
      <c r="B28" s="32">
        <f>'Semiconductor_Extended'!C17</f>
        <v/>
      </c>
      <c r="C28" s="32">
        <f>'Semiconductor_Extended'!D17</f>
        <v/>
      </c>
      <c r="D28" s="32">
        <f>'Semiconductor_Extended'!E17</f>
        <v/>
      </c>
      <c r="E28" s="33" t="n"/>
      <c r="F28" s="33" t="n"/>
      <c r="G28" s="33" t="n"/>
      <c r="H28" s="33" t="n"/>
      <c r="I28" s="50" t="n"/>
      <c r="J28" s="51" t="n"/>
      <c r="K28" s="50" t="n"/>
      <c r="L28" s="51" t="n"/>
    </row>
    <row r="29" ht="22" customHeight="1">
      <c r="A29" s="31">
        <f>'Semiconductor_Extended'!A18</f>
        <v/>
      </c>
      <c r="B29" s="32">
        <f>'Semiconductor_Extended'!C18</f>
        <v/>
      </c>
      <c r="C29" s="32">
        <f>'Semiconductor_Extended'!D18</f>
        <v/>
      </c>
      <c r="D29" s="32">
        <f>'Semiconductor_Extended'!E18</f>
        <v/>
      </c>
      <c r="E29" s="33" t="n"/>
      <c r="F29" s="33" t="n"/>
      <c r="G29" s="33" t="n"/>
      <c r="H29" s="33" t="n"/>
      <c r="I29" s="47" t="n"/>
      <c r="J29" s="49" t="n"/>
      <c r="K29" s="47" t="n"/>
      <c r="L29" s="49" t="n"/>
    </row>
    <row r="30" ht="22" customHeight="1">
      <c r="A30" s="31">
        <f>'Semiconductor_Extended'!A19</f>
        <v/>
      </c>
      <c r="B30" s="32">
        <f>'Semiconductor_Extended'!C19</f>
        <v/>
      </c>
      <c r="C30" s="32">
        <f>'Semiconductor_Extended'!D19</f>
        <v/>
      </c>
      <c r="D30" s="32">
        <f>'Semiconductor_Extended'!E19</f>
        <v/>
      </c>
      <c r="E30" s="33" t="n"/>
      <c r="F30" s="33" t="n"/>
      <c r="G30" s="33" t="n"/>
      <c r="H30" s="33" t="n"/>
      <c r="I30" s="40" t="inlineStr">
        <is>
          <t>검토 메모</t>
        </is>
      </c>
      <c r="J30" s="43" t="n"/>
      <c r="K30" s="43" t="n"/>
      <c r="L30" s="44" t="n"/>
    </row>
    <row r="31" ht="22" customHeight="1">
      <c r="A31" s="31">
        <f>'Semiconductor_Extended'!A20</f>
        <v/>
      </c>
      <c r="B31" s="32">
        <f>'Semiconductor_Extended'!C20</f>
        <v/>
      </c>
      <c r="C31" s="32">
        <f>'Semiconductor_Extended'!D20</f>
        <v/>
      </c>
      <c r="D31" s="32">
        <f>'Semiconductor_Extended'!E20</f>
        <v/>
      </c>
      <c r="E31" s="33" t="n"/>
      <c r="F31" s="33" t="n"/>
      <c r="G31" s="33" t="n"/>
      <c r="H31" s="33" t="n"/>
      <c r="I31" s="39" t="inlineStr">
        <is>
          <t>대표/파트너 검토 코멘트 입력</t>
        </is>
      </c>
      <c r="J31" s="45" t="n"/>
      <c r="K31" s="45" t="n"/>
      <c r="L31" s="46" t="n"/>
    </row>
    <row r="32" ht="22" customHeight="1">
      <c r="A32" s="31">
        <f>'Semiconductor_Extended'!A21</f>
        <v/>
      </c>
      <c r="B32" s="32">
        <f>'Semiconductor_Extended'!C21</f>
        <v/>
      </c>
      <c r="C32" s="32">
        <f>'Semiconductor_Extended'!D21</f>
        <v/>
      </c>
      <c r="D32" s="32">
        <f>'Semiconductor_Extended'!E21</f>
        <v/>
      </c>
      <c r="E32" s="33" t="n"/>
      <c r="F32" s="33" t="n"/>
      <c r="G32" s="33" t="n"/>
      <c r="H32" s="33" t="n"/>
      <c r="I32" s="50" t="n"/>
      <c r="L32" s="51" t="n"/>
    </row>
    <row r="33" ht="22" customHeight="1">
      <c r="A33" s="31">
        <f>'Semiconductor_Extended'!A22</f>
        <v/>
      </c>
      <c r="B33" s="32">
        <f>'Semiconductor_Extended'!C22</f>
        <v/>
      </c>
      <c r="C33" s="32">
        <f>'Semiconductor_Extended'!D22</f>
        <v/>
      </c>
      <c r="D33" s="32">
        <f>'Semiconductor_Extended'!E22</f>
        <v/>
      </c>
      <c r="E33" s="33" t="n"/>
      <c r="F33" s="33" t="n"/>
      <c r="G33" s="33" t="n"/>
      <c r="H33" s="33" t="n"/>
      <c r="I33" s="50" t="n"/>
      <c r="L33" s="51" t="n"/>
    </row>
    <row r="34" ht="22" customHeight="1">
      <c r="A34" s="31">
        <f>'Semiconductor_Extended'!A23</f>
        <v/>
      </c>
      <c r="B34" s="32">
        <f>'Semiconductor_Extended'!C23</f>
        <v/>
      </c>
      <c r="C34" s="32">
        <f>'Semiconductor_Extended'!D23</f>
        <v/>
      </c>
      <c r="D34" s="32">
        <f>'Semiconductor_Extended'!E23</f>
        <v/>
      </c>
      <c r="E34" s="33" t="n"/>
      <c r="F34" s="33" t="n"/>
      <c r="G34" s="33" t="n"/>
      <c r="H34" s="33" t="n"/>
      <c r="I34" s="47" t="n"/>
      <c r="J34" s="48" t="n"/>
      <c r="K34" s="48" t="n"/>
      <c r="L34" s="49" t="n"/>
    </row>
    <row r="35" ht="22" customHeight="1">
      <c r="A35" s="34" t="inlineStr">
        <is>
          <t>8. 승인 및 제출</t>
        </is>
      </c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4" t="n"/>
    </row>
    <row r="36" ht="22" customHeight="1">
      <c r="A36" s="23" t="inlineStr">
        <is>
          <t>작성</t>
        </is>
      </c>
      <c r="B36" s="35" t="inlineStr">
        <is>
          <t>심사팀</t>
        </is>
      </c>
      <c r="C36" s="44" t="n"/>
      <c r="D36" s="23" t="inlineStr">
        <is>
          <t>검토</t>
        </is>
      </c>
      <c r="E36" s="35" t="inlineStr">
        <is>
          <t>투자본부장</t>
        </is>
      </c>
      <c r="F36" s="44" t="n"/>
      <c r="G36" s="23" t="inlineStr">
        <is>
          <t>승인</t>
        </is>
      </c>
      <c r="H36" s="35" t="inlineStr">
        <is>
          <t>대표/파트너</t>
        </is>
      </c>
      <c r="I36" s="44" t="n"/>
      <c r="J36" s="23" t="inlineStr">
        <is>
          <t>제출일</t>
        </is>
      </c>
      <c r="K36" s="35" t="inlineStr">
        <is>
          <t>YYYY-MM-DD</t>
        </is>
      </c>
      <c r="L36" s="44" t="n"/>
    </row>
    <row r="37" hidden="1" ht="22" customHeight="1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 hidden="1" ht="22" customHeight="1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 hidden="1" ht="22" customHeight="1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 hidden="1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 hidden="1">
      <c r="A41" s="31">
        <f>'Semiconductor_Extended'!A29</f>
        <v/>
      </c>
      <c r="B41" s="32">
        <f>'Semiconductor_Extended'!C29</f>
        <v/>
      </c>
      <c r="C41" s="32">
        <f>'Semiconductor_Extended'!D29</f>
        <v/>
      </c>
      <c r="D41" s="32">
        <f>'Semiconductor_Extended'!E29</f>
        <v/>
      </c>
    </row>
    <row r="42" hidden="1">
      <c r="A42" s="31">
        <f>'Semiconductor_Extended'!A30</f>
        <v/>
      </c>
      <c r="B42" s="32">
        <f>'Semiconductor_Extended'!C30</f>
        <v/>
      </c>
      <c r="C42" s="32">
        <f>'Semiconductor_Extended'!D30</f>
        <v/>
      </c>
      <c r="D42" s="32">
        <f>'Semiconductor_Extended'!E30</f>
        <v/>
      </c>
    </row>
    <row r="43" hidden="1">
      <c r="A43" s="31">
        <f>'Semiconductor_Extended'!A31</f>
        <v/>
      </c>
      <c r="B43" s="32">
        <f>'Semiconductor_Extended'!C31</f>
        <v/>
      </c>
      <c r="C43" s="32">
        <f>'Semiconductor_Extended'!D31</f>
        <v/>
      </c>
      <c r="D43" s="32">
        <f>'Semiconductor_Extended'!E31</f>
        <v/>
      </c>
    </row>
  </sheetData>
  <mergeCells count="40">
    <mergeCell ref="E12:F12"/>
    <mergeCell ref="A7:L7"/>
    <mergeCell ref="E14:F14"/>
    <mergeCell ref="A19:D19"/>
    <mergeCell ref="I27:J29"/>
    <mergeCell ref="A20:D24"/>
    <mergeCell ref="K36:L36"/>
    <mergeCell ref="J17:L18"/>
    <mergeCell ref="I26:J26"/>
    <mergeCell ref="I20:L24"/>
    <mergeCell ref="I19:L19"/>
    <mergeCell ref="D16:F16"/>
    <mergeCell ref="K26:L26"/>
    <mergeCell ref="B12:C12"/>
    <mergeCell ref="J16:L16"/>
    <mergeCell ref="A25:H25"/>
    <mergeCell ref="I30:L30"/>
    <mergeCell ref="B14:C14"/>
    <mergeCell ref="E13:F13"/>
    <mergeCell ref="H36:I36"/>
    <mergeCell ref="G17:I18"/>
    <mergeCell ref="D17:F18"/>
    <mergeCell ref="A35:L35"/>
    <mergeCell ref="B13:C13"/>
    <mergeCell ref="G16:I16"/>
    <mergeCell ref="A10:L10"/>
    <mergeCell ref="E36:F36"/>
    <mergeCell ref="K27:L29"/>
    <mergeCell ref="H13:L13"/>
    <mergeCell ref="I25:L25"/>
    <mergeCell ref="E19:H19"/>
    <mergeCell ref="E20:H24"/>
    <mergeCell ref="H12:I12"/>
    <mergeCell ref="A15:L15"/>
    <mergeCell ref="A11:L11"/>
    <mergeCell ref="I31:L34"/>
    <mergeCell ref="B36:C36"/>
    <mergeCell ref="A17:C18"/>
    <mergeCell ref="H14:L14"/>
    <mergeCell ref="A16:C16"/>
  </mergeCells>
  <printOptions horizontalCentered="1" verticalCentered="0"/>
  <pageMargins left="0.3" right="0.3" top="0.35" bottom="0.35" header="0.15" footer="0.15"/>
  <pageSetup orientation="landscape" fitToHeight="1" fitToWidth="1"/>
  <headerFooter>
    <oddHeader/>
    <oddFooter>&amp;CConfidential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7:L36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2" customHeight="1"/>
    <row r="2" ht="22" customHeight="1"/>
    <row r="3" ht="22" customHeight="1"/>
    <row r="4" ht="22" customHeight="1"/>
    <row r="5" ht="22" customHeight="1"/>
    <row r="6" ht="22" customHeight="1"/>
    <row r="7" ht="22" customHeight="1">
      <c r="A7" s="34" t="inlineStr">
        <is>
          <t>문서 메타정보</t>
        </is>
      </c>
    </row>
    <row r="8" ht="22" customHeight="1">
      <c r="A8" s="23" t="inlineStr">
        <is>
          <t>회사명</t>
        </is>
      </c>
      <c r="B8" s="52" t="inlineStr">
        <is>
          <t>Your Company Name</t>
        </is>
      </c>
      <c r="C8" s="23" t="inlineStr">
        <is>
          <t>문서번호</t>
        </is>
      </c>
      <c r="D8" s="52" t="inlineStr">
        <is>
          <t>TIPS-SEMI-2026-001</t>
        </is>
      </c>
      <c r="E8" s="23" t="inlineStr">
        <is>
          <t>버전</t>
        </is>
      </c>
      <c r="F8" s="52" t="inlineStr">
        <is>
          <t>v1.0</t>
        </is>
      </c>
      <c r="G8" s="23" t="inlineStr">
        <is>
          <t>검토상태</t>
        </is>
      </c>
      <c r="H8" s="52" t="inlineStr">
        <is>
          <t>Draft</t>
        </is>
      </c>
      <c r="I8" s="23" t="inlineStr">
        <is>
          <t>보안등급</t>
        </is>
      </c>
      <c r="J8" s="52" t="inlineStr">
        <is>
          <t>Internal Use Only</t>
        </is>
      </c>
      <c r="K8" s="23" t="inlineStr">
        <is>
          <t>로고</t>
        </is>
      </c>
      <c r="L8" s="52" t="inlineStr">
        <is>
          <t>상단 배너 참조</t>
        </is>
      </c>
    </row>
    <row r="9" ht="22" customHeight="1">
      <c r="A9" s="23" t="inlineStr">
        <is>
          <t>작성</t>
        </is>
      </c>
      <c r="B9" s="52" t="inlineStr">
        <is>
          <t>심사팀</t>
        </is>
      </c>
      <c r="C9" s="23" t="inlineStr">
        <is>
          <t>검토</t>
        </is>
      </c>
      <c r="D9" s="52" t="inlineStr">
        <is>
          <t>투자본부장</t>
        </is>
      </c>
      <c r="E9" s="23" t="inlineStr">
        <is>
          <t>승인</t>
        </is>
      </c>
      <c r="F9" s="52" t="inlineStr">
        <is>
          <t>대표/파트너</t>
        </is>
      </c>
      <c r="G9" s="23" t="inlineStr">
        <is>
          <t>제출대상</t>
        </is>
      </c>
      <c r="H9" s="52" t="inlineStr">
        <is>
          <t>TIPS 검토회의</t>
        </is>
      </c>
      <c r="I9" s="23" t="inlineStr">
        <is>
          <t>업종</t>
        </is>
      </c>
      <c r="J9" s="52" t="inlineStr">
        <is>
          <t>Semiconductor</t>
        </is>
      </c>
      <c r="K9" s="23" t="inlineStr">
        <is>
          <t>양식</t>
        </is>
      </c>
      <c r="L9" s="52" t="inlineStr">
        <is>
          <t>1-Page Summary</t>
        </is>
      </c>
    </row>
    <row r="10" ht="28" customHeight="1">
      <c r="A10" s="53" t="inlineStr">
        <is>
          <t>Semiconductor TIPS 심사용 요약서</t>
        </is>
      </c>
    </row>
    <row r="11" ht="22" customHeight="1">
      <c r="A11" s="34" t="inlineStr">
        <is>
          <t>1. 기본정보</t>
        </is>
      </c>
    </row>
    <row r="12" ht="22" customHeight="1">
      <c r="A12" s="23" t="inlineStr">
        <is>
          <t>기업명</t>
        </is>
      </c>
      <c r="B12" s="52">
        <f>'Semiconductor_Extended'!B4</f>
        <v/>
      </c>
      <c r="D12" s="23" t="inlineStr">
        <is>
          <t>대표자</t>
        </is>
      </c>
      <c r="E12" s="52">
        <f>'Semiconductor_Extended'!B5</f>
        <v/>
      </c>
      <c r="G12" s="23" t="inlineStr">
        <is>
          <t>검토일</t>
        </is>
      </c>
      <c r="H12" s="52">
        <f>'Semiconductor_Extended'!B6</f>
        <v/>
      </c>
    </row>
    <row r="13" ht="22" customHeight="1">
      <c r="A13" s="23" t="inlineStr">
        <is>
          <t>심사역</t>
        </is>
      </c>
      <c r="B13" s="52">
        <f>'Semiconductor_Extended'!B7</f>
        <v/>
      </c>
      <c r="D13" s="23" t="inlineStr">
        <is>
          <t>기술 분야</t>
        </is>
      </c>
      <c r="E13" s="52">
        <f>'Semiconductor_Extended'!B8</f>
        <v/>
      </c>
      <c r="G13" s="23" t="inlineStr">
        <is>
          <t>단계</t>
        </is>
      </c>
      <c r="H13" s="52">
        <f>'Semiconductor_Extended'!B9</f>
        <v/>
      </c>
    </row>
    <row r="14" ht="22" customHeight="1">
      <c r="A14" s="23" t="inlineStr">
        <is>
          <t>검토 목적</t>
        </is>
      </c>
      <c r="B14" s="52">
        <f>'Semiconductor_Extended'!B10</f>
        <v/>
      </c>
      <c r="D14" s="23" t="inlineStr">
        <is>
          <t>총점</t>
        </is>
      </c>
      <c r="E14" s="52">
        <f>'Semiconductor_Extended'!F4</f>
        <v/>
      </c>
      <c r="G14" s="23" t="inlineStr">
        <is>
          <t>권고안</t>
        </is>
      </c>
      <c r="H14" s="52">
        <f>'Semiconductor_Extended'!F5</f>
        <v/>
      </c>
    </row>
    <row r="15" ht="22" customHeight="1">
      <c r="A15" s="34" t="inlineStr">
        <is>
          <t>2. TIPS 핵심 지표</t>
        </is>
      </c>
    </row>
    <row r="16" ht="22" customHeight="1">
      <c r="A16" s="25" t="inlineStr">
        <is>
          <t>총점</t>
        </is>
      </c>
      <c r="D16" s="25" t="inlineStr">
        <is>
          <t>TIPS 평균점수</t>
        </is>
      </c>
      <c r="G16" s="25" t="inlineStr">
        <is>
          <t>TIPS 실행 준비도</t>
        </is>
      </c>
      <c r="J16" s="25" t="inlineStr">
        <is>
          <t>1차 권고안</t>
        </is>
      </c>
    </row>
    <row r="17" ht="24" customHeight="1">
      <c r="A17" s="54">
        <f>'Semiconductor_Extended'!F4</f>
        <v/>
      </c>
      <c r="D17" s="54">
        <f>'Semiconductor_Extended'!F6</f>
        <v/>
      </c>
      <c r="G17" s="54">
        <f>ROUND(AVERAGE('Semiconductor_Extended'!D29,'Semiconductor_Extended'!D30),1)</f>
        <v/>
      </c>
      <c r="J17" s="54">
        <f>IF(J29="딥테크트랙 우선","딥테크트랙 추천 검토",IF(J29="일반트랙 우선","일반트랙 추천 검토","추가 준비 필요"))</f>
        <v/>
      </c>
    </row>
    <row r="18" ht="24" customHeight="1"/>
    <row r="19" ht="22" customHeight="1">
      <c r="A19" s="55" t="inlineStr">
        <is>
          <t>3. TIPS 추천 포인트</t>
        </is>
      </c>
      <c r="E19" s="55" t="inlineStr">
        <is>
          <t>4. 보완 필요사항</t>
        </is>
      </c>
      <c r="I19" s="55" t="inlineStr">
        <is>
          <t>5. 추천 액션 포인트</t>
        </is>
      </c>
    </row>
    <row r="20" ht="22" customHeight="1">
      <c r="A20" s="39" t="inlineStr">
        <is>
          <t>• 기술 차별성
• 민간투자 적합성
• 사업화 가능성</t>
        </is>
      </c>
      <c r="E20" s="39" t="inlineStr">
        <is>
          <t>• 기술 검증 데이터 추가
• 시장/고객 근거 보강
• 사업계획 정밀화</t>
        </is>
      </c>
      <c r="I20" s="39" t="inlineStr">
        <is>
          <t>• 즉시 추천
• 조건부 추천
• 3개월 내 보완
• 추가 검증 후 재심</t>
        </is>
      </c>
    </row>
    <row r="21" ht="22" customHeight="1"/>
    <row r="22" ht="22" customHeight="1"/>
    <row r="23" ht="22" customHeight="1"/>
    <row r="24" ht="22" customHeight="1"/>
    <row r="25" ht="22" customHeight="1">
      <c r="A25" s="34" t="inlineStr">
        <is>
          <t>6. TIPS 관련 점수 요약</t>
        </is>
      </c>
      <c r="I25" s="34" t="inlineStr">
        <is>
          <t>7. 추천 및 후속조치</t>
        </is>
      </c>
    </row>
    <row r="26" ht="22" customHeight="1">
      <c r="A26" s="29" t="inlineStr">
        <is>
          <t>평가영역</t>
        </is>
      </c>
      <c r="B26" s="29" t="inlineStr">
        <is>
          <t>배점</t>
        </is>
      </c>
      <c r="C26" s="29" t="inlineStr">
        <is>
          <t>입력점수</t>
        </is>
      </c>
      <c r="D26" s="29" t="inlineStr">
        <is>
          <t>환산점수</t>
        </is>
      </c>
      <c r="I26" s="56" t="inlineStr">
        <is>
          <t>추천 트랙 자동 판정</t>
        </is>
      </c>
    </row>
    <row r="27" ht="22" customHeight="1">
      <c r="A27" s="31">
        <f>'Semiconductor_Extended'!A16</f>
        <v/>
      </c>
      <c r="B27" s="32">
        <f>'Semiconductor_Extended'!C16</f>
        <v/>
      </c>
      <c r="C27" s="32">
        <f>'Semiconductor_Extended'!D16</f>
        <v/>
      </c>
      <c r="D27" s="32">
        <f>'Semiconductor_Extended'!E16</f>
        <v/>
      </c>
      <c r="I27" s="23" t="inlineStr">
        <is>
          <t>일반트랙 적합성</t>
        </is>
      </c>
      <c r="J27" s="57">
        <f>ROUND(AVERAGE('Semiconductor_Extended'!D27,'Semiconductor_Extended'!D28),1)</f>
        <v/>
      </c>
    </row>
    <row r="28" ht="22" customHeight="1">
      <c r="A28" s="31">
        <f>'Semiconductor_Extended'!A17</f>
        <v/>
      </c>
      <c r="B28" s="32">
        <f>'Semiconductor_Extended'!C17</f>
        <v/>
      </c>
      <c r="C28" s="32">
        <f>'Semiconductor_Extended'!D17</f>
        <v/>
      </c>
      <c r="D28" s="32">
        <f>'Semiconductor_Extended'!E17</f>
        <v/>
      </c>
      <c r="I28" s="23" t="inlineStr">
        <is>
          <t>딥테크트랙 적합성</t>
        </is>
      </c>
      <c r="J28" s="57">
        <f>ROUND(AVERAGE('Semiconductor_Extended'!D29,'Semiconductor_Extended'!D30),1)</f>
        <v/>
      </c>
    </row>
    <row r="29" ht="22" customHeight="1">
      <c r="A29" s="31">
        <f>'Semiconductor_Extended'!A24</f>
        <v/>
      </c>
      <c r="B29" s="32">
        <f>'Semiconductor_Extended'!C24</f>
        <v/>
      </c>
      <c r="C29" s="32">
        <f>'Semiconductor_Extended'!D24</f>
        <v/>
      </c>
      <c r="D29" s="32">
        <f>'Semiconductor_Extended'!E24</f>
        <v/>
      </c>
      <c r="I29" s="23" t="inlineStr">
        <is>
          <t>최종 트랙 판정</t>
        </is>
      </c>
      <c r="J29" s="58">
        <f>IF(AND(J28&gt;=4.0,J27&gt;=3.5),"딥테크트랙 우선",IF(J27&gt;=3.5,"일반트랙 우선","추가 준비 필요"))</f>
        <v/>
      </c>
    </row>
    <row r="30" ht="22" customHeight="1">
      <c r="A30" s="31">
        <f>'Semiconductor_Extended'!A27</f>
        <v/>
      </c>
      <c r="B30" s="32">
        <f>'Semiconductor_Extended'!C27</f>
        <v/>
      </c>
      <c r="C30" s="32">
        <f>'Semiconductor_Extended'!D27</f>
        <v/>
      </c>
      <c r="D30" s="32">
        <f>'Semiconductor_Extended'!E27</f>
        <v/>
      </c>
      <c r="I30" s="56" t="inlineStr">
        <is>
          <t>판정 기준</t>
        </is>
      </c>
    </row>
    <row r="31" ht="34" customHeight="1">
      <c r="A31" s="31">
        <f>'Semiconductor_Extended'!A28</f>
        <v/>
      </c>
      <c r="B31" s="32">
        <f>'Semiconductor_Extended'!C28</f>
        <v/>
      </c>
      <c r="C31" s="32">
        <f>'Semiconductor_Extended'!D28</f>
        <v/>
      </c>
      <c r="D31" s="32">
        <f>'Semiconductor_Extended'!E28</f>
        <v/>
      </c>
      <c r="I31" s="59" t="inlineStr">
        <is>
          <t>일반트랙: 3.5 이상 / 딥테크트랙: 딥테크 적합성 4.0 이상 + 일반트랙 적합성 3.5 이상</t>
        </is>
      </c>
    </row>
    <row r="32" ht="22" customHeight="1">
      <c r="A32" s="31">
        <f>'Semiconductor_Extended'!A29</f>
        <v/>
      </c>
      <c r="B32" s="32">
        <f>'Semiconductor_Extended'!C29</f>
        <v/>
      </c>
      <c r="C32" s="32">
        <f>'Semiconductor_Extended'!D29</f>
        <v/>
      </c>
      <c r="D32" s="32">
        <f>'Semiconductor_Extended'!E29</f>
        <v/>
      </c>
      <c r="I32" s="56" t="inlineStr">
        <is>
          <t>검토 메모</t>
        </is>
      </c>
    </row>
    <row r="33" ht="26" customHeight="1">
      <c r="A33" s="31">
        <f>'Semiconductor_Extended'!A30</f>
        <v/>
      </c>
      <c r="B33" s="32">
        <f>'Semiconductor_Extended'!C30</f>
        <v/>
      </c>
      <c r="C33" s="32">
        <f>'Semiconductor_Extended'!D30</f>
        <v/>
      </c>
      <c r="D33" s="32">
        <f>'Semiconductor_Extended'!E30</f>
        <v/>
      </c>
      <c r="I33" s="60" t="inlineStr">
        <is>
          <t>TIPS 발표자료, 사업계획서, 추천 시점 관련 코멘트 입력</t>
        </is>
      </c>
    </row>
    <row r="34" ht="22" customHeight="1"/>
    <row r="35" ht="22" customHeight="1">
      <c r="A35" s="34" t="inlineStr">
        <is>
          <t>8. 승인 및 제출</t>
        </is>
      </c>
    </row>
    <row r="36" ht="22" customHeight="1">
      <c r="A36" s="23" t="inlineStr">
        <is>
          <t>작성</t>
        </is>
      </c>
      <c r="B36" s="52" t="inlineStr">
        <is>
          <t>심사팀</t>
        </is>
      </c>
      <c r="D36" s="23" t="inlineStr">
        <is>
          <t>검토</t>
        </is>
      </c>
      <c r="E36" s="52" t="inlineStr">
        <is>
          <t>투자본부장</t>
        </is>
      </c>
      <c r="G36" s="23" t="inlineStr">
        <is>
          <t>승인</t>
        </is>
      </c>
      <c r="H36" s="52" t="inlineStr">
        <is>
          <t>대표/파트너</t>
        </is>
      </c>
      <c r="J36" s="23" t="inlineStr">
        <is>
          <t>제출일</t>
        </is>
      </c>
      <c r="K36" s="52" t="inlineStr">
        <is>
          <t>YYYY-MM-DD</t>
        </is>
      </c>
    </row>
  </sheetData>
  <mergeCells count="42">
    <mergeCell ref="E12:F12"/>
    <mergeCell ref="A7:L7"/>
    <mergeCell ref="J27:L27"/>
    <mergeCell ref="E14:F14"/>
    <mergeCell ref="A19:D19"/>
    <mergeCell ref="A20:D24"/>
    <mergeCell ref="K36:L36"/>
    <mergeCell ref="J17:L18"/>
    <mergeCell ref="I19:L19"/>
    <mergeCell ref="D16:F16"/>
    <mergeCell ref="I20:L24"/>
    <mergeCell ref="B12:C12"/>
    <mergeCell ref="J16:L16"/>
    <mergeCell ref="A25:H25"/>
    <mergeCell ref="I31:L31"/>
    <mergeCell ref="I30:L30"/>
    <mergeCell ref="B14:C14"/>
    <mergeCell ref="E13:F13"/>
    <mergeCell ref="H36:I36"/>
    <mergeCell ref="G17:I18"/>
    <mergeCell ref="D17:F18"/>
    <mergeCell ref="I33:L34"/>
    <mergeCell ref="A35:L35"/>
    <mergeCell ref="B13:C13"/>
    <mergeCell ref="G16:I16"/>
    <mergeCell ref="A10:L10"/>
    <mergeCell ref="I26:L26"/>
    <mergeCell ref="E36:F36"/>
    <mergeCell ref="I32:L32"/>
    <mergeCell ref="H13:L13"/>
    <mergeCell ref="E19:H19"/>
    <mergeCell ref="I25:L25"/>
    <mergeCell ref="E20:H24"/>
    <mergeCell ref="J29:L29"/>
    <mergeCell ref="H12:I12"/>
    <mergeCell ref="A15:L15"/>
    <mergeCell ref="J28:L28"/>
    <mergeCell ref="A11:L11"/>
    <mergeCell ref="B36:C36"/>
    <mergeCell ref="A17:C18"/>
    <mergeCell ref="H14:L14"/>
    <mergeCell ref="A16:C16"/>
  </mergeCells>
  <pageMargins left="0.3" right="0.3" top="0.35" bottom="0.35" header="0.15" footer="0.15"/>
  <pageSetup orientation="landscape" fitToHeight="1" fitToWidth="1"/>
  <headerFooter>
    <oddHeader/>
    <oddFooter>&amp;CConfidential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9" customWidth="1" min="3" max="3"/>
    <col width="11" customWidth="1" min="4" max="4"/>
    <col width="11" customWidth="1" min="5" max="5"/>
    <col width="42" customWidth="1" min="6" max="6"/>
  </cols>
  <sheetData>
    <row r="1">
      <c r="A1" s="4" t="inlineStr">
        <is>
          <t>모빌리티 투자심사 점수평가표 - TIPS/CVC 확장판</t>
        </is>
      </c>
    </row>
    <row r="3">
      <c r="A3" s="2" t="inlineStr">
        <is>
          <t>기본정보</t>
        </is>
      </c>
    </row>
    <row r="4">
      <c r="A4" s="5" t="inlineStr">
        <is>
          <t>기업명</t>
        </is>
      </c>
      <c r="B4" s="6" t="inlineStr"/>
      <c r="E4" s="7" t="inlineStr">
        <is>
          <t>총점</t>
        </is>
      </c>
      <c r="F4" s="8">
        <f>SUM(E16:E31)</f>
        <v/>
      </c>
    </row>
    <row r="5">
      <c r="A5" s="5" t="inlineStr">
        <is>
          <t>대표자</t>
        </is>
      </c>
      <c r="B5" s="6" t="inlineStr"/>
      <c r="E5" s="7" t="inlineStr">
        <is>
          <t>권고안</t>
        </is>
      </c>
      <c r="F5" s="8">
        <f>IF(F4&gt;=85,"적극 투자검토",IF(F4&gt;=70,"조건부 투자검토",IF(F4&gt;=55,"PoC/보육 우선","부적합")))</f>
        <v/>
      </c>
    </row>
    <row r="6">
      <c r="A6" s="5" t="inlineStr">
        <is>
          <t>검토일</t>
        </is>
      </c>
      <c r="B6" s="6" t="inlineStr"/>
      <c r="E6" s="7" t="inlineStr">
        <is>
          <t>TIPS 평균점수</t>
        </is>
      </c>
      <c r="F6" s="8">
        <f>ROUND(AVERAGE(D29:D30),1)</f>
        <v/>
      </c>
    </row>
    <row r="7">
      <c r="A7" s="5" t="inlineStr">
        <is>
          <t>심사역</t>
        </is>
      </c>
      <c r="B7" s="6" t="inlineStr"/>
      <c r="E7" s="7" t="inlineStr">
        <is>
          <t>CVC 평균점수</t>
        </is>
      </c>
      <c r="F7" s="8">
        <f>ROUND(AVERAGE(D27:D28),1)</f>
        <v/>
      </c>
    </row>
    <row r="8">
      <c r="A8" s="5" t="inlineStr">
        <is>
          <t>기술 분야</t>
        </is>
      </c>
      <c r="B8" s="6" t="inlineStr">
        <is>
          <t>모빌리티</t>
        </is>
      </c>
    </row>
    <row r="9">
      <c r="A9" s="5" t="inlineStr">
        <is>
          <t>단계</t>
        </is>
      </c>
      <c r="B9" s="6" t="inlineStr">
        <is>
          <t>Pre-seed / Seed / Series A-</t>
        </is>
      </c>
    </row>
    <row r="10">
      <c r="A10" s="5" t="inlineStr">
        <is>
          <t>검토 목적</t>
        </is>
      </c>
      <c r="B10" s="6" t="inlineStr">
        <is>
          <t>투자심사 / IC 상정 전 검토</t>
        </is>
      </c>
    </row>
    <row r="14">
      <c r="A14" s="2" t="inlineStr">
        <is>
          <t>점수평가표</t>
        </is>
      </c>
    </row>
    <row r="15">
      <c r="A15" s="7" t="inlineStr">
        <is>
          <t>평가영역</t>
        </is>
      </c>
      <c r="B15" s="7" t="inlineStr">
        <is>
          <t>세부항목</t>
        </is>
      </c>
      <c r="C15" s="7" t="inlineStr">
        <is>
          <t>배점</t>
        </is>
      </c>
      <c r="D15" s="7" t="inlineStr">
        <is>
          <t>점수(1~5)</t>
        </is>
      </c>
      <c r="E15" s="7" t="inlineStr">
        <is>
          <t>환산점수</t>
        </is>
      </c>
      <c r="F15" s="7" t="inlineStr">
        <is>
          <t>평가코멘트</t>
        </is>
      </c>
    </row>
    <row r="16">
      <c r="A16" s="9" t="inlineStr">
        <is>
          <t>기술성</t>
        </is>
      </c>
      <c r="B16" s="10" t="inlineStr">
        <is>
          <t>핵심기술 차별성</t>
        </is>
      </c>
      <c r="C16" s="11" t="n">
        <v>8</v>
      </c>
      <c r="D16" s="12" t="inlineStr"/>
      <c r="E16" s="13">
        <f>IF(D16="",0,D16/5*C16)</f>
        <v/>
      </c>
      <c r="F16" s="10" t="inlineStr"/>
    </row>
    <row r="17">
      <c r="A17" s="9" t="inlineStr">
        <is>
          <t>기술성</t>
        </is>
      </c>
      <c r="B17" s="10" t="inlineStr">
        <is>
          <t>기능 성능 수준</t>
        </is>
      </c>
      <c r="C17" s="11" t="n">
        <v>8</v>
      </c>
      <c r="D17" s="12" t="inlineStr"/>
      <c r="E17" s="13">
        <f>IF(D17="",0,D17/5*C17)</f>
        <v/>
      </c>
      <c r="F17" s="10" t="inlineStr"/>
    </row>
    <row r="18">
      <c r="A18" s="9" t="inlineStr">
        <is>
          <t>기술성</t>
        </is>
      </c>
      <c r="B18" s="10" t="inlineStr">
        <is>
          <t>시스템 연동성</t>
        </is>
      </c>
      <c r="C18" s="11" t="n">
        <v>6</v>
      </c>
      <c r="D18" s="12" t="inlineStr"/>
      <c r="E18" s="13">
        <f>IF(D18="",0,D18/5*C18)</f>
        <v/>
      </c>
      <c r="F18" s="10" t="inlineStr"/>
    </row>
    <row r="19">
      <c r="A19" s="9" t="inlineStr">
        <is>
          <t>안전성</t>
        </is>
      </c>
      <c r="B19" s="10" t="inlineStr">
        <is>
          <t>기능안전/고장대응</t>
        </is>
      </c>
      <c r="C19" s="11" t="n">
        <v>9</v>
      </c>
      <c r="D19" s="12" t="inlineStr"/>
      <c r="E19" s="13">
        <f>IF(D19="",0,D19/5*C19)</f>
        <v/>
      </c>
      <c r="F19" s="10" t="inlineStr"/>
    </row>
    <row r="20">
      <c r="A20" s="9" t="inlineStr">
        <is>
          <t>안전성</t>
        </is>
      </c>
      <c r="B20" s="10" t="inlineStr">
        <is>
          <t>신뢰성/내구성</t>
        </is>
      </c>
      <c r="C20" s="11" t="n">
        <v>7</v>
      </c>
      <c r="D20" s="12" t="inlineStr"/>
      <c r="E20" s="13">
        <f>IF(D20="",0,D20/5*C20)</f>
        <v/>
      </c>
      <c r="F20" s="10" t="inlineStr"/>
    </row>
    <row r="21">
      <c r="A21" s="9" t="inlineStr">
        <is>
          <t>규제</t>
        </is>
      </c>
      <c r="B21" s="10" t="inlineStr">
        <is>
          <t>인증/규제 대응력</t>
        </is>
      </c>
      <c r="C21" s="11" t="n">
        <v>7</v>
      </c>
      <c r="D21" s="12" t="inlineStr"/>
      <c r="E21" s="13">
        <f>IF(D21="",0,D21/5*C21)</f>
        <v/>
      </c>
      <c r="F21" s="10" t="inlineStr"/>
    </row>
    <row r="22">
      <c r="A22" s="9" t="inlineStr">
        <is>
          <t>적용성</t>
        </is>
      </c>
      <c r="B22" s="10" t="inlineStr">
        <is>
          <t>실차/현장 적용 가능성</t>
        </is>
      </c>
      <c r="C22" s="11" t="n">
        <v>9</v>
      </c>
      <c r="D22" s="12" t="inlineStr"/>
      <c r="E22" s="13">
        <f>IF(D22="",0,D22/5*C22)</f>
        <v/>
      </c>
      <c r="F22" s="10" t="inlineStr"/>
    </row>
    <row r="23">
      <c r="A23" s="9" t="inlineStr">
        <is>
          <t>적용성</t>
        </is>
      </c>
      <c r="B23" s="10" t="inlineStr">
        <is>
          <t>OEM/Tier 구조 적합성</t>
        </is>
      </c>
      <c r="C23" s="11" t="n">
        <v>7</v>
      </c>
      <c r="D23" s="12" t="inlineStr"/>
      <c r="E23" s="13">
        <f>IF(D23="",0,D23/5*C23)</f>
        <v/>
      </c>
      <c r="F23" s="10" t="inlineStr"/>
    </row>
    <row r="24">
      <c r="A24" s="9" t="inlineStr">
        <is>
          <t>사업성</t>
        </is>
      </c>
      <c r="B24" s="10" t="inlineStr">
        <is>
          <t>시장성 및 고객 명확성</t>
        </is>
      </c>
      <c r="C24" s="11" t="n">
        <v>6</v>
      </c>
      <c r="D24" s="12" t="inlineStr"/>
      <c r="E24" s="13">
        <f>IF(D24="",0,D24/5*C24)</f>
        <v/>
      </c>
      <c r="F24" s="10" t="inlineStr"/>
    </row>
    <row r="25">
      <c r="A25" s="9" t="inlineStr">
        <is>
          <t>사업성</t>
        </is>
      </c>
      <c r="B25" s="10" t="inlineStr">
        <is>
          <t>실증→계약 전환 경로</t>
        </is>
      </c>
      <c r="C25" s="11" t="n">
        <v>6</v>
      </c>
      <c r="D25" s="12" t="inlineStr"/>
      <c r="E25" s="13">
        <f>IF(D25="",0,D25/5*C25)</f>
        <v/>
      </c>
      <c r="F25" s="10" t="inlineStr"/>
    </row>
    <row r="26">
      <c r="A26" s="9" t="inlineStr">
        <is>
          <t>전략성</t>
        </is>
      </c>
      <c r="B26" s="10" t="inlineStr">
        <is>
          <t>CVC 전략 적합성</t>
        </is>
      </c>
      <c r="C26" s="11" t="n">
        <v>5</v>
      </c>
      <c r="D26" s="12" t="inlineStr"/>
      <c r="E26" s="13">
        <f>IF(D26="",0,D26/5*C26)</f>
        <v/>
      </c>
      <c r="F26" s="10" t="inlineStr"/>
    </row>
    <row r="27">
      <c r="A27" s="9" t="inlineStr">
        <is>
          <t>전략성</t>
        </is>
      </c>
      <c r="B27" s="10" t="inlineStr">
        <is>
          <t>CVC 전환 가능성</t>
        </is>
      </c>
      <c r="C27" s="11" t="n">
        <v>4</v>
      </c>
      <c r="D27" s="12" t="inlineStr"/>
      <c r="E27" s="13">
        <f>IF(D27="",0,D27/5*C27)</f>
        <v/>
      </c>
      <c r="F27" s="10" t="inlineStr"/>
    </row>
    <row r="28">
      <c r="A28" s="9" t="inlineStr">
        <is>
          <t>정책연계</t>
        </is>
      </c>
      <c r="B28" s="10" t="inlineStr">
        <is>
          <t>TIPS 적합성</t>
        </is>
      </c>
      <c r="C28" s="11" t="n">
        <v>4</v>
      </c>
      <c r="D28" s="12" t="inlineStr"/>
      <c r="E28" s="13">
        <f>IF(D28="",0,D28/5*C28)</f>
        <v/>
      </c>
      <c r="F28" s="10" t="inlineStr"/>
    </row>
    <row r="29">
      <c r="A29" s="9" t="inlineStr">
        <is>
          <t>정책연계</t>
        </is>
      </c>
      <c r="B29" s="10" t="inlineStr">
        <is>
          <t>TIPS 실행 준비도</t>
        </is>
      </c>
      <c r="C29" s="11" t="n">
        <v>4</v>
      </c>
      <c r="D29" s="12" t="inlineStr"/>
      <c r="E29" s="13">
        <f>IF(D29="",0,D29/5*C29)</f>
        <v/>
      </c>
      <c r="F29" s="10" t="inlineStr"/>
    </row>
    <row r="30">
      <c r="A30" s="9" t="inlineStr">
        <is>
          <t>운영성</t>
        </is>
      </c>
      <c r="B30" s="10" t="inlineStr">
        <is>
          <t>설치/운영/유지보수 가능성</t>
        </is>
      </c>
      <c r="C30" s="11" t="n">
        <v>4</v>
      </c>
      <c r="D30" s="12" t="inlineStr"/>
      <c r="E30" s="13">
        <f>IF(D30="",0,D30/5*C30)</f>
        <v/>
      </c>
      <c r="F30" s="10" t="inlineStr"/>
    </row>
    <row r="31">
      <c r="A31" s="9" t="inlineStr">
        <is>
          <t>팀</t>
        </is>
      </c>
      <c r="B31" s="10" t="inlineStr">
        <is>
          <t>창업팀 전문성 및 실행력</t>
        </is>
      </c>
      <c r="C31" s="11" t="n">
        <v>6</v>
      </c>
      <c r="D31" s="12" t="inlineStr"/>
      <c r="E31" s="13">
        <f>IF(D31="",0,D31/5*C31)</f>
        <v/>
      </c>
      <c r="F31" s="10" t="inlineStr"/>
    </row>
    <row r="32">
      <c r="A32" s="14" t="inlineStr">
        <is>
          <t>총점</t>
        </is>
      </c>
      <c r="B32" s="19" t="n"/>
      <c r="C32" s="19" t="n"/>
      <c r="D32" s="20" t="n"/>
      <c r="E32" s="14">
        <f>SUM(E16:E31)</f>
        <v/>
      </c>
    </row>
    <row r="34">
      <c r="A34" s="2" t="inlineStr">
        <is>
          <t>총평</t>
        </is>
      </c>
    </row>
    <row r="35">
      <c r="A35" s="15" t="inlineStr">
        <is>
          <t>강점</t>
        </is>
      </c>
      <c r="B35" s="16" t="n"/>
      <c r="C35" s="19" t="n"/>
      <c r="D35" s="19" t="n"/>
      <c r="E35" s="19" t="n"/>
      <c r="F35" s="20" t="n"/>
    </row>
    <row r="36">
      <c r="A36" s="15" t="inlineStr">
        <is>
          <t>핵심 리스크</t>
        </is>
      </c>
      <c r="B36" s="16" t="n"/>
      <c r="C36" s="19" t="n"/>
      <c r="D36" s="19" t="n"/>
      <c r="E36" s="19" t="n"/>
      <c r="F36" s="20" t="n"/>
    </row>
    <row r="37">
      <c r="A37" s="15" t="inlineStr">
        <is>
          <t>필수 보완과제</t>
        </is>
      </c>
      <c r="B37" s="16" t="n"/>
      <c r="C37" s="19" t="n"/>
      <c r="D37" s="19" t="n"/>
      <c r="E37" s="19" t="n"/>
      <c r="F37" s="20" t="n"/>
    </row>
    <row r="38">
      <c r="A38" s="15" t="inlineStr">
        <is>
          <t>IC 상정 권고 여부</t>
        </is>
      </c>
      <c r="B38" s="16" t="n"/>
      <c r="C38" s="19" t="n"/>
      <c r="D38" s="19" t="n"/>
      <c r="E38" s="19" t="n"/>
      <c r="F38" s="20" t="n"/>
    </row>
  </sheetData>
  <mergeCells count="5">
    <mergeCell ref="B38:F38"/>
    <mergeCell ref="B37:F37"/>
    <mergeCell ref="B36:F36"/>
    <mergeCell ref="A32:D32"/>
    <mergeCell ref="B35:F35"/>
  </mergeCells>
  <conditionalFormatting sqref="D16:D31">
    <cfRule type="cellIs" priority="1" operator="equal" dxfId="0">
      <formula>5</formula>
    </cfRule>
    <cfRule type="cellIs" priority="2" operator="lessThan" dxfId="1">
      <formula>3</formula>
    </cfRule>
  </conditionalFormatting>
  <dataValidations count="1">
    <dataValidation sqref="D16 D17 D18 D19 D20 D21 D22 D23 D24 D25 D26 D27 D28 D29 D30 D31" showDropDown="0" showInputMessage="0" showErrorMessage="0" allowBlank="1" error="1~5만 입력하세요." prompt="1~5 점수 입력" type="whole" operator="between">
      <formula1>1</formula1>
      <formula2>5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8" customHeight="1">
      <c r="A1" s="33" t="n"/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</row>
    <row r="2" ht="46" customHeight="1">
      <c r="A2" s="33" t="n"/>
      <c r="B2" s="33" t="n"/>
      <c r="C2" s="33" t="n"/>
      <c r="D2" s="33" t="n"/>
      <c r="E2" s="33" t="n"/>
      <c r="F2" s="33" t="n"/>
      <c r="G2" s="33" t="n"/>
      <c r="H2" s="33" t="n"/>
      <c r="I2" s="33" t="n"/>
      <c r="J2" s="33" t="n"/>
      <c r="K2" s="33" t="n"/>
      <c r="L2" s="33" t="n"/>
    </row>
    <row r="3" ht="22" customHeight="1">
      <c r="A3" s="33" t="n"/>
      <c r="B3" s="33" t="n"/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</row>
    <row r="4" ht="22" customHeight="1">
      <c r="A4" s="33" t="n"/>
      <c r="B4" s="33" t="n"/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</row>
    <row r="5" ht="22" customHeight="1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</row>
    <row r="6" ht="22" customHeight="1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</row>
    <row r="7" ht="22" customHeight="1">
      <c r="A7" s="34" t="inlineStr">
        <is>
          <t>문서 메타정보</t>
        </is>
      </c>
      <c r="B7" s="43" t="n"/>
      <c r="C7" s="43" t="n"/>
      <c r="D7" s="43" t="n"/>
      <c r="E7" s="43" t="n"/>
      <c r="F7" s="43" t="n"/>
      <c r="G7" s="43" t="n"/>
      <c r="H7" s="43" t="n"/>
      <c r="I7" s="43" t="n"/>
      <c r="J7" s="43" t="n"/>
      <c r="K7" s="43" t="n"/>
      <c r="L7" s="44" t="n"/>
    </row>
    <row r="8" ht="22" customHeight="1">
      <c r="A8" s="23" t="inlineStr">
        <is>
          <t>회사명</t>
        </is>
      </c>
      <c r="B8" s="35" t="inlineStr">
        <is>
          <t>Your Company Name</t>
        </is>
      </c>
      <c r="C8" s="23" t="inlineStr">
        <is>
          <t>문서번호</t>
        </is>
      </c>
      <c r="D8" s="35" t="inlineStr">
        <is>
          <t>IC-MOBI-2026-001</t>
        </is>
      </c>
      <c r="E8" s="23" t="inlineStr">
        <is>
          <t>버전</t>
        </is>
      </c>
      <c r="F8" s="35" t="inlineStr">
        <is>
          <t>v1.0</t>
        </is>
      </c>
      <c r="G8" s="23" t="inlineStr">
        <is>
          <t>검토상태</t>
        </is>
      </c>
      <c r="H8" s="35" t="inlineStr">
        <is>
          <t>Draft</t>
        </is>
      </c>
      <c r="I8" s="23" t="inlineStr">
        <is>
          <t>보안등급</t>
        </is>
      </c>
      <c r="J8" s="35" t="inlineStr">
        <is>
          <t>Internal Use Only</t>
        </is>
      </c>
      <c r="K8" s="23" t="inlineStr">
        <is>
          <t>로고</t>
        </is>
      </c>
      <c r="L8" s="35" t="inlineStr">
        <is>
          <t>상단 배너 참조</t>
        </is>
      </c>
    </row>
    <row r="9" ht="22" customHeight="1">
      <c r="A9" s="23" t="inlineStr">
        <is>
          <t>작성</t>
        </is>
      </c>
      <c r="B9" s="35" t="inlineStr">
        <is>
          <t>심사팀</t>
        </is>
      </c>
      <c r="C9" s="23" t="inlineStr">
        <is>
          <t>검토</t>
        </is>
      </c>
      <c r="D9" s="35" t="inlineStr">
        <is>
          <t>투자본부장</t>
        </is>
      </c>
      <c r="E9" s="23" t="inlineStr">
        <is>
          <t>승인</t>
        </is>
      </c>
      <c r="F9" s="35" t="inlineStr">
        <is>
          <t>대표/파트너</t>
        </is>
      </c>
      <c r="G9" s="23" t="inlineStr">
        <is>
          <t>제출대상</t>
        </is>
      </c>
      <c r="H9" s="35" t="inlineStr">
        <is>
          <t>IC</t>
        </is>
      </c>
      <c r="I9" s="23" t="inlineStr">
        <is>
          <t>업종</t>
        </is>
      </c>
      <c r="J9" s="35" t="inlineStr">
        <is>
          <t>Mobility</t>
        </is>
      </c>
      <c r="K9" s="23" t="inlineStr">
        <is>
          <t>양식</t>
        </is>
      </c>
      <c r="L9" s="35" t="inlineStr">
        <is>
          <t>1-Page Summary</t>
        </is>
      </c>
    </row>
    <row r="10" ht="28" customHeight="1">
      <c r="A10" s="36" t="inlineStr">
        <is>
          <t>Mobility 투자심사 IC 요약서</t>
        </is>
      </c>
    </row>
    <row r="11" ht="22" customHeight="1">
      <c r="A11" s="34" t="inlineStr">
        <is>
          <t>1. 기본정보</t>
        </is>
      </c>
      <c r="B11" s="43" t="n"/>
      <c r="C11" s="43" t="n"/>
      <c r="D11" s="43" t="n"/>
      <c r="E11" s="43" t="n"/>
      <c r="F11" s="43" t="n"/>
      <c r="G11" s="43" t="n"/>
      <c r="H11" s="43" t="n"/>
      <c r="I11" s="43" t="n"/>
      <c r="J11" s="43" t="n"/>
      <c r="K11" s="43" t="n"/>
      <c r="L11" s="44" t="n"/>
    </row>
    <row r="12" ht="22" customHeight="1">
      <c r="A12" s="23" t="inlineStr">
        <is>
          <t>기업명</t>
        </is>
      </c>
      <c r="B12" s="35">
        <f>'Mobility_Extended'!B4</f>
        <v/>
      </c>
      <c r="C12" s="44" t="n"/>
      <c r="D12" s="23" t="inlineStr">
        <is>
          <t>대표자</t>
        </is>
      </c>
      <c r="E12" s="35">
        <f>'Mobility_Extended'!B5</f>
        <v/>
      </c>
      <c r="F12" s="44" t="n"/>
      <c r="G12" s="23" t="inlineStr">
        <is>
          <t>검토일</t>
        </is>
      </c>
      <c r="H12" s="35">
        <f>'Mobility_Extended'!B6</f>
        <v/>
      </c>
      <c r="I12" s="44" t="n"/>
      <c r="J12" s="33" t="n"/>
      <c r="K12" s="33" t="n"/>
      <c r="L12" s="33" t="n"/>
    </row>
    <row r="13" ht="22" customHeight="1">
      <c r="A13" s="23" t="inlineStr">
        <is>
          <t>심사역</t>
        </is>
      </c>
      <c r="B13" s="35">
        <f>'Mobility_Extended'!B7</f>
        <v/>
      </c>
      <c r="C13" s="44" t="n"/>
      <c r="D13" s="23" t="inlineStr">
        <is>
          <t>기술 분야</t>
        </is>
      </c>
      <c r="E13" s="35">
        <f>'Mobility_Extended'!B8</f>
        <v/>
      </c>
      <c r="F13" s="44" t="n"/>
      <c r="G13" s="23" t="inlineStr">
        <is>
          <t>단계</t>
        </is>
      </c>
      <c r="H13" s="35">
        <f>'Mobility_Extended'!B9</f>
        <v/>
      </c>
      <c r="I13" s="43" t="n"/>
      <c r="J13" s="43" t="n"/>
      <c r="K13" s="43" t="n"/>
      <c r="L13" s="44" t="n"/>
    </row>
    <row r="14" ht="22" customHeight="1">
      <c r="A14" s="23" t="inlineStr">
        <is>
          <t>검토 목적</t>
        </is>
      </c>
      <c r="B14" s="35">
        <f>'Mobility_Extended'!B10</f>
        <v/>
      </c>
      <c r="C14" s="44" t="n"/>
      <c r="D14" s="23" t="inlineStr">
        <is>
          <t>총점</t>
        </is>
      </c>
      <c r="E14" s="35">
        <f>'Mobility_Extended'!F4</f>
        <v/>
      </c>
      <c r="F14" s="44" t="n"/>
      <c r="G14" s="23" t="inlineStr">
        <is>
          <t>권고안</t>
        </is>
      </c>
      <c r="H14" s="35">
        <f>'Mobility_Extended'!F5</f>
        <v/>
      </c>
      <c r="I14" s="43" t="n"/>
      <c r="J14" s="43" t="n"/>
      <c r="K14" s="43" t="n"/>
      <c r="L14" s="44" t="n"/>
    </row>
    <row r="15" ht="22" customHeight="1">
      <c r="A15" s="34" t="inlineStr">
        <is>
          <t>2. 핵심 지표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4" t="n"/>
    </row>
    <row r="16" ht="22" customHeight="1">
      <c r="A16" s="25" t="inlineStr">
        <is>
          <t>총점</t>
        </is>
      </c>
      <c r="B16" s="43" t="n"/>
      <c r="C16" s="44" t="n"/>
      <c r="D16" s="25" t="inlineStr">
        <is>
          <t>권고안</t>
        </is>
      </c>
      <c r="E16" s="43" t="n"/>
      <c r="F16" s="44" t="n"/>
      <c r="G16" s="25" t="inlineStr">
        <is>
          <t>TIPS 평균점수</t>
        </is>
      </c>
      <c r="H16" s="43" t="n"/>
      <c r="I16" s="44" t="n"/>
      <c r="J16" s="25" t="inlineStr">
        <is>
          <t>CVC 평균점수</t>
        </is>
      </c>
      <c r="K16" s="43" t="n"/>
      <c r="L16" s="44" t="n"/>
    </row>
    <row r="17" ht="22" customHeight="1">
      <c r="A17" s="37">
        <f>'Mobility_Extended'!F4</f>
        <v/>
      </c>
      <c r="B17" s="45" t="n"/>
      <c r="C17" s="46" t="n"/>
      <c r="D17" s="37">
        <f>'Mobility_Extended'!F5</f>
        <v/>
      </c>
      <c r="E17" s="45" t="n"/>
      <c r="F17" s="46" t="n"/>
      <c r="G17" s="37">
        <f>'Mobility_Extended'!F6</f>
        <v/>
      </c>
      <c r="H17" s="45" t="n"/>
      <c r="I17" s="46" t="n"/>
      <c r="J17" s="37">
        <f>'Mobility_Extended'!F7</f>
        <v/>
      </c>
      <c r="K17" s="45" t="n"/>
      <c r="L17" s="46" t="n"/>
    </row>
    <row r="18" ht="22" customHeight="1">
      <c r="A18" s="47" t="n"/>
      <c r="B18" s="48" t="n"/>
      <c r="C18" s="49" t="n"/>
      <c r="D18" s="47" t="n"/>
      <c r="E18" s="48" t="n"/>
      <c r="F18" s="49" t="n"/>
      <c r="G18" s="47" t="n"/>
      <c r="H18" s="48" t="n"/>
      <c r="I18" s="49" t="n"/>
      <c r="J18" s="47" t="n"/>
      <c r="K18" s="48" t="n"/>
      <c r="L18" s="49" t="n"/>
    </row>
    <row r="19" ht="22" customHeight="1">
      <c r="A19" s="38" t="inlineStr">
        <is>
          <t>3. 상위 강점</t>
        </is>
      </c>
      <c r="B19" s="43" t="n"/>
      <c r="C19" s="43" t="n"/>
      <c r="D19" s="44" t="n"/>
      <c r="E19" s="38" t="inlineStr">
        <is>
          <t>4. 핵심 리스크</t>
        </is>
      </c>
      <c r="F19" s="43" t="n"/>
      <c r="G19" s="43" t="n"/>
      <c r="H19" s="44" t="n"/>
      <c r="I19" s="38" t="inlineStr">
        <is>
          <t>5. IC 액션 포인트</t>
        </is>
      </c>
      <c r="J19" s="43" t="n"/>
      <c r="K19" s="43" t="n"/>
      <c r="L19" s="44" t="n"/>
    </row>
    <row r="20" ht="22" customHeight="1">
      <c r="A20" s="39" t="inlineStr">
        <is>
          <t>• 핵심기술 차별성
• 사업화 경로 명확성
• 팀 실행력</t>
        </is>
      </c>
      <c r="B20" s="45" t="n"/>
      <c r="C20" s="45" t="n"/>
      <c r="D20" s="46" t="n"/>
      <c r="E20" s="39" t="inlineStr">
        <is>
          <t>• 기술/성능 불확실성
• 양산/실증 지연
• 규제/고객 도입 리스크</t>
        </is>
      </c>
      <c r="F20" s="45" t="n"/>
      <c r="G20" s="45" t="n"/>
      <c r="H20" s="46" t="n"/>
      <c r="I20" s="39" t="inlineStr">
        <is>
          <t>• 즉시 투자
• 조건부 투자
• PoC 우선
• 보육 우선</t>
        </is>
      </c>
      <c r="J20" s="45" t="n"/>
      <c r="K20" s="45" t="n"/>
      <c r="L20" s="46" t="n"/>
    </row>
    <row r="21" ht="22" customHeight="1">
      <c r="A21" s="50" t="n"/>
      <c r="D21" s="51" t="n"/>
      <c r="E21" s="50" t="n"/>
      <c r="H21" s="51" t="n"/>
      <c r="I21" s="50" t="n"/>
      <c r="L21" s="51" t="n"/>
    </row>
    <row r="22" ht="22" customHeight="1">
      <c r="A22" s="50" t="n"/>
      <c r="D22" s="51" t="n"/>
      <c r="E22" s="50" t="n"/>
      <c r="H22" s="51" t="n"/>
      <c r="I22" s="50" t="n"/>
      <c r="L22" s="51" t="n"/>
    </row>
    <row r="23" ht="22" customHeight="1">
      <c r="A23" s="50" t="n"/>
      <c r="D23" s="51" t="n"/>
      <c r="E23" s="50" t="n"/>
      <c r="H23" s="51" t="n"/>
      <c r="I23" s="50" t="n"/>
      <c r="L23" s="51" t="n"/>
    </row>
    <row r="24" ht="22" customHeight="1">
      <c r="A24" s="47" t="n"/>
      <c r="B24" s="48" t="n"/>
      <c r="C24" s="48" t="n"/>
      <c r="D24" s="49" t="n"/>
      <c r="E24" s="47" t="n"/>
      <c r="F24" s="48" t="n"/>
      <c r="G24" s="48" t="n"/>
      <c r="H24" s="49" t="n"/>
      <c r="I24" s="47" t="n"/>
      <c r="J24" s="48" t="n"/>
      <c r="K24" s="48" t="n"/>
      <c r="L24" s="49" t="n"/>
    </row>
    <row r="25" ht="22" customHeight="1">
      <c r="A25" s="34" t="inlineStr">
        <is>
          <t>6. 항목별 점수 요약</t>
        </is>
      </c>
      <c r="B25" s="43" t="n"/>
      <c r="C25" s="43" t="n"/>
      <c r="D25" s="43" t="n"/>
      <c r="E25" s="43" t="n"/>
      <c r="F25" s="43" t="n"/>
      <c r="G25" s="43" t="n"/>
      <c r="H25" s="44" t="n"/>
      <c r="I25" s="34" t="inlineStr">
        <is>
          <t>7. 심의 및 후속조치</t>
        </is>
      </c>
      <c r="J25" s="43" t="n"/>
      <c r="K25" s="43" t="n"/>
      <c r="L25" s="44" t="n"/>
    </row>
    <row r="26" ht="22" customHeight="1">
      <c r="A26" s="29" t="inlineStr">
        <is>
          <t>평가영역</t>
        </is>
      </c>
      <c r="B26" s="29" t="inlineStr">
        <is>
          <t>배점</t>
        </is>
      </c>
      <c r="C26" s="29" t="inlineStr">
        <is>
          <t>입력점수</t>
        </is>
      </c>
      <c r="D26" s="29" t="inlineStr">
        <is>
          <t>환산점수</t>
        </is>
      </c>
      <c r="E26" s="33" t="n"/>
      <c r="F26" s="33" t="n"/>
      <c r="G26" s="33" t="n"/>
      <c r="H26" s="33" t="n"/>
      <c r="I26" s="40" t="inlineStr">
        <is>
          <t>투자조건 제안</t>
        </is>
      </c>
      <c r="J26" s="44" t="n"/>
      <c r="K26" s="40" t="inlineStr">
        <is>
          <t>후속 일정</t>
        </is>
      </c>
      <c r="L26" s="44" t="n"/>
    </row>
    <row r="27" ht="22" customHeight="1">
      <c r="A27" s="31">
        <f>'Mobility_Extended'!A16</f>
        <v/>
      </c>
      <c r="B27" s="32">
        <f>'Mobility_Extended'!C16</f>
        <v/>
      </c>
      <c r="C27" s="32">
        <f>'Mobility_Extended'!D16</f>
        <v/>
      </c>
      <c r="D27" s="32">
        <f>'Mobility_Extended'!E16</f>
        <v/>
      </c>
      <c r="E27" s="33" t="n"/>
      <c r="F27" s="33" t="n"/>
      <c r="G27" s="33" t="n"/>
      <c r="H27" s="33" t="n"/>
      <c r="I27" s="39" t="inlineStr">
        <is>
          <t>금액 / 구조 / 주요 조건</t>
        </is>
      </c>
      <c r="J27" s="46" t="n"/>
      <c r="K27" s="39" t="inlineStr">
        <is>
          <t>실사 / IC / 계약 / 집행 일정</t>
        </is>
      </c>
      <c r="L27" s="46" t="n"/>
    </row>
    <row r="28" ht="22" customHeight="1">
      <c r="A28" s="31">
        <f>'Mobility_Extended'!A17</f>
        <v/>
      </c>
      <c r="B28" s="32">
        <f>'Mobility_Extended'!C17</f>
        <v/>
      </c>
      <c r="C28" s="32">
        <f>'Mobility_Extended'!D17</f>
        <v/>
      </c>
      <c r="D28" s="32">
        <f>'Mobility_Extended'!E17</f>
        <v/>
      </c>
      <c r="E28" s="33" t="n"/>
      <c r="F28" s="33" t="n"/>
      <c r="G28" s="33" t="n"/>
      <c r="H28" s="33" t="n"/>
      <c r="I28" s="50" t="n"/>
      <c r="J28" s="51" t="n"/>
      <c r="K28" s="50" t="n"/>
      <c r="L28" s="51" t="n"/>
    </row>
    <row r="29" ht="22" customHeight="1">
      <c r="A29" s="31">
        <f>'Mobility_Extended'!A18</f>
        <v/>
      </c>
      <c r="B29" s="32">
        <f>'Mobility_Extended'!C18</f>
        <v/>
      </c>
      <c r="C29" s="32">
        <f>'Mobility_Extended'!D18</f>
        <v/>
      </c>
      <c r="D29" s="32">
        <f>'Mobility_Extended'!E18</f>
        <v/>
      </c>
      <c r="E29" s="33" t="n"/>
      <c r="F29" s="33" t="n"/>
      <c r="G29" s="33" t="n"/>
      <c r="H29" s="33" t="n"/>
      <c r="I29" s="47" t="n"/>
      <c r="J29" s="49" t="n"/>
      <c r="K29" s="47" t="n"/>
      <c r="L29" s="49" t="n"/>
    </row>
    <row r="30" ht="22" customHeight="1">
      <c r="A30" s="31">
        <f>'Mobility_Extended'!A19</f>
        <v/>
      </c>
      <c r="B30" s="32">
        <f>'Mobility_Extended'!C19</f>
        <v/>
      </c>
      <c r="C30" s="32">
        <f>'Mobility_Extended'!D19</f>
        <v/>
      </c>
      <c r="D30" s="32">
        <f>'Mobility_Extended'!E19</f>
        <v/>
      </c>
      <c r="E30" s="33" t="n"/>
      <c r="F30" s="33" t="n"/>
      <c r="G30" s="33" t="n"/>
      <c r="H30" s="33" t="n"/>
      <c r="I30" s="40" t="inlineStr">
        <is>
          <t>검토 메모</t>
        </is>
      </c>
      <c r="J30" s="43" t="n"/>
      <c r="K30" s="43" t="n"/>
      <c r="L30" s="44" t="n"/>
    </row>
    <row r="31" ht="22" customHeight="1">
      <c r="A31" s="31">
        <f>'Mobility_Extended'!A20</f>
        <v/>
      </c>
      <c r="B31" s="32">
        <f>'Mobility_Extended'!C20</f>
        <v/>
      </c>
      <c r="C31" s="32">
        <f>'Mobility_Extended'!D20</f>
        <v/>
      </c>
      <c r="D31" s="32">
        <f>'Mobility_Extended'!E20</f>
        <v/>
      </c>
      <c r="E31" s="33" t="n"/>
      <c r="F31" s="33" t="n"/>
      <c r="G31" s="33" t="n"/>
      <c r="H31" s="33" t="n"/>
      <c r="I31" s="39" t="inlineStr">
        <is>
          <t>대표/파트너 검토 코멘트 입력</t>
        </is>
      </c>
      <c r="J31" s="45" t="n"/>
      <c r="K31" s="45" t="n"/>
      <c r="L31" s="46" t="n"/>
    </row>
    <row r="32" ht="22" customHeight="1">
      <c r="A32" s="31">
        <f>'Mobility_Extended'!A21</f>
        <v/>
      </c>
      <c r="B32" s="32">
        <f>'Mobility_Extended'!C21</f>
        <v/>
      </c>
      <c r="C32" s="32">
        <f>'Mobility_Extended'!D21</f>
        <v/>
      </c>
      <c r="D32" s="32">
        <f>'Mobility_Extended'!E21</f>
        <v/>
      </c>
      <c r="E32" s="33" t="n"/>
      <c r="F32" s="33" t="n"/>
      <c r="G32" s="33" t="n"/>
      <c r="H32" s="33" t="n"/>
      <c r="I32" s="50" t="n"/>
      <c r="L32" s="51" t="n"/>
    </row>
    <row r="33" ht="22" customHeight="1">
      <c r="A33" s="31">
        <f>'Mobility_Extended'!A22</f>
        <v/>
      </c>
      <c r="B33" s="32">
        <f>'Mobility_Extended'!C22</f>
        <v/>
      </c>
      <c r="C33" s="32">
        <f>'Mobility_Extended'!D22</f>
        <v/>
      </c>
      <c r="D33" s="32">
        <f>'Mobility_Extended'!E22</f>
        <v/>
      </c>
      <c r="E33" s="33" t="n"/>
      <c r="F33" s="33" t="n"/>
      <c r="G33" s="33" t="n"/>
      <c r="H33" s="33" t="n"/>
      <c r="I33" s="50" t="n"/>
      <c r="L33" s="51" t="n"/>
    </row>
    <row r="34" ht="22" customHeight="1">
      <c r="A34" s="31">
        <f>'Mobility_Extended'!A23</f>
        <v/>
      </c>
      <c r="B34" s="32">
        <f>'Mobility_Extended'!C23</f>
        <v/>
      </c>
      <c r="C34" s="32">
        <f>'Mobility_Extended'!D23</f>
        <v/>
      </c>
      <c r="D34" s="32">
        <f>'Mobility_Extended'!E23</f>
        <v/>
      </c>
      <c r="E34" s="33" t="n"/>
      <c r="F34" s="33" t="n"/>
      <c r="G34" s="33" t="n"/>
      <c r="H34" s="33" t="n"/>
      <c r="I34" s="47" t="n"/>
      <c r="J34" s="48" t="n"/>
      <c r="K34" s="48" t="n"/>
      <c r="L34" s="49" t="n"/>
    </row>
    <row r="35" ht="22" customHeight="1">
      <c r="A35" s="34" t="inlineStr">
        <is>
          <t>8. 승인 및 제출</t>
        </is>
      </c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4" t="n"/>
    </row>
    <row r="36" ht="22" customHeight="1">
      <c r="A36" s="23" t="inlineStr">
        <is>
          <t>작성</t>
        </is>
      </c>
      <c r="B36" s="35" t="inlineStr">
        <is>
          <t>심사팀</t>
        </is>
      </c>
      <c r="C36" s="44" t="n"/>
      <c r="D36" s="23" t="inlineStr">
        <is>
          <t>검토</t>
        </is>
      </c>
      <c r="E36" s="35" t="inlineStr">
        <is>
          <t>투자본부장</t>
        </is>
      </c>
      <c r="F36" s="44" t="n"/>
      <c r="G36" s="23" t="inlineStr">
        <is>
          <t>승인</t>
        </is>
      </c>
      <c r="H36" s="35" t="inlineStr">
        <is>
          <t>대표/파트너</t>
        </is>
      </c>
      <c r="I36" s="44" t="n"/>
      <c r="J36" s="23" t="inlineStr">
        <is>
          <t>제출일</t>
        </is>
      </c>
      <c r="K36" s="35" t="inlineStr">
        <is>
          <t>YYYY-MM-DD</t>
        </is>
      </c>
      <c r="L36" s="44" t="n"/>
    </row>
    <row r="37" hidden="1" ht="22" customHeight="1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 hidden="1" ht="22" customHeight="1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 hidden="1" ht="22" customHeight="1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 hidden="1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 hidden="1">
      <c r="A41" s="31">
        <f>'Mobility_Extended'!A29</f>
        <v/>
      </c>
      <c r="B41" s="32">
        <f>'Mobility_Extended'!C29</f>
        <v/>
      </c>
      <c r="C41" s="32">
        <f>'Mobility_Extended'!D29</f>
        <v/>
      </c>
      <c r="D41" s="32">
        <f>'Mobility_Extended'!E29</f>
        <v/>
      </c>
    </row>
    <row r="42" hidden="1">
      <c r="A42" s="31">
        <f>'Mobility_Extended'!A30</f>
        <v/>
      </c>
      <c r="B42" s="32">
        <f>'Mobility_Extended'!C30</f>
        <v/>
      </c>
      <c r="C42" s="32">
        <f>'Mobility_Extended'!D30</f>
        <v/>
      </c>
      <c r="D42" s="32">
        <f>'Mobility_Extended'!E30</f>
        <v/>
      </c>
    </row>
    <row r="43" hidden="1">
      <c r="A43" s="31">
        <f>'Mobility_Extended'!A31</f>
        <v/>
      </c>
      <c r="B43" s="32">
        <f>'Mobility_Extended'!C31</f>
        <v/>
      </c>
      <c r="C43" s="32">
        <f>'Mobility_Extended'!D31</f>
        <v/>
      </c>
      <c r="D43" s="32">
        <f>'Mobility_Extended'!E31</f>
        <v/>
      </c>
    </row>
  </sheetData>
  <mergeCells count="40">
    <mergeCell ref="E12:F12"/>
    <mergeCell ref="A7:L7"/>
    <mergeCell ref="E14:F14"/>
    <mergeCell ref="A19:D19"/>
    <mergeCell ref="I27:J29"/>
    <mergeCell ref="A20:D24"/>
    <mergeCell ref="K36:L36"/>
    <mergeCell ref="J17:L18"/>
    <mergeCell ref="I26:J26"/>
    <mergeCell ref="I20:L24"/>
    <mergeCell ref="I19:L19"/>
    <mergeCell ref="D16:F16"/>
    <mergeCell ref="K26:L26"/>
    <mergeCell ref="B12:C12"/>
    <mergeCell ref="J16:L16"/>
    <mergeCell ref="A25:H25"/>
    <mergeCell ref="I30:L30"/>
    <mergeCell ref="B14:C14"/>
    <mergeCell ref="E13:F13"/>
    <mergeCell ref="H36:I36"/>
    <mergeCell ref="G17:I18"/>
    <mergeCell ref="D17:F18"/>
    <mergeCell ref="A35:L35"/>
    <mergeCell ref="B13:C13"/>
    <mergeCell ref="G16:I16"/>
    <mergeCell ref="A10:L10"/>
    <mergeCell ref="E36:F36"/>
    <mergeCell ref="K27:L29"/>
    <mergeCell ref="H13:L13"/>
    <mergeCell ref="I25:L25"/>
    <mergeCell ref="E19:H19"/>
    <mergeCell ref="E20:H24"/>
    <mergeCell ref="H12:I12"/>
    <mergeCell ref="A15:L15"/>
    <mergeCell ref="A11:L11"/>
    <mergeCell ref="I31:L34"/>
    <mergeCell ref="B36:C36"/>
    <mergeCell ref="A17:C18"/>
    <mergeCell ref="H14:L14"/>
    <mergeCell ref="A16:C16"/>
  </mergeCells>
  <printOptions horizontalCentered="1" verticalCentered="0"/>
  <pageMargins left="0.3" right="0.3" top="0.35" bottom="0.35" header="0.15" footer="0.15"/>
  <pageSetup orientation="landscape" fitToHeight="1" fitToWidth="1"/>
  <headerFooter>
    <oddHeader/>
    <oddFooter>&amp;CConfidential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7:L36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2" customHeight="1"/>
    <row r="2" ht="22" customHeight="1"/>
    <row r="3" ht="22" customHeight="1"/>
    <row r="4" ht="22" customHeight="1"/>
    <row r="5" ht="22" customHeight="1"/>
    <row r="6" ht="22" customHeight="1"/>
    <row r="7" ht="22" customHeight="1">
      <c r="A7" s="34" t="inlineStr">
        <is>
          <t>문서 메타정보</t>
        </is>
      </c>
    </row>
    <row r="8" ht="22" customHeight="1">
      <c r="A8" s="23" t="inlineStr">
        <is>
          <t>회사명</t>
        </is>
      </c>
      <c r="B8" s="52" t="inlineStr">
        <is>
          <t>Your Company Name</t>
        </is>
      </c>
      <c r="C8" s="23" t="inlineStr">
        <is>
          <t>문서번호</t>
        </is>
      </c>
      <c r="D8" s="52" t="inlineStr">
        <is>
          <t>TIPS-MOBI-2026-001</t>
        </is>
      </c>
      <c r="E8" s="23" t="inlineStr">
        <is>
          <t>버전</t>
        </is>
      </c>
      <c r="F8" s="52" t="inlineStr">
        <is>
          <t>v1.0</t>
        </is>
      </c>
      <c r="G8" s="23" t="inlineStr">
        <is>
          <t>검토상태</t>
        </is>
      </c>
      <c r="H8" s="52" t="inlineStr">
        <is>
          <t>Draft</t>
        </is>
      </c>
      <c r="I8" s="23" t="inlineStr">
        <is>
          <t>보안등급</t>
        </is>
      </c>
      <c r="J8" s="52" t="inlineStr">
        <is>
          <t>Internal Use Only</t>
        </is>
      </c>
      <c r="K8" s="23" t="inlineStr">
        <is>
          <t>로고</t>
        </is>
      </c>
      <c r="L8" s="52" t="inlineStr">
        <is>
          <t>상단 배너 참조</t>
        </is>
      </c>
    </row>
    <row r="9" ht="22" customHeight="1">
      <c r="A9" s="23" t="inlineStr">
        <is>
          <t>작성</t>
        </is>
      </c>
      <c r="B9" s="52" t="inlineStr">
        <is>
          <t>심사팀</t>
        </is>
      </c>
      <c r="C9" s="23" t="inlineStr">
        <is>
          <t>검토</t>
        </is>
      </c>
      <c r="D9" s="52" t="inlineStr">
        <is>
          <t>투자본부장</t>
        </is>
      </c>
      <c r="E9" s="23" t="inlineStr">
        <is>
          <t>승인</t>
        </is>
      </c>
      <c r="F9" s="52" t="inlineStr">
        <is>
          <t>대표/파트너</t>
        </is>
      </c>
      <c r="G9" s="23" t="inlineStr">
        <is>
          <t>제출대상</t>
        </is>
      </c>
      <c r="H9" s="52" t="inlineStr">
        <is>
          <t>TIPS 검토회의</t>
        </is>
      </c>
      <c r="I9" s="23" t="inlineStr">
        <is>
          <t>업종</t>
        </is>
      </c>
      <c r="J9" s="52" t="inlineStr">
        <is>
          <t>Mobility</t>
        </is>
      </c>
      <c r="K9" s="23" t="inlineStr">
        <is>
          <t>양식</t>
        </is>
      </c>
      <c r="L9" s="52" t="inlineStr">
        <is>
          <t>1-Page Summary</t>
        </is>
      </c>
    </row>
    <row r="10" ht="28" customHeight="1">
      <c r="A10" s="53" t="inlineStr">
        <is>
          <t>Mobility TIPS 심사용 요약서</t>
        </is>
      </c>
    </row>
    <row r="11" ht="22" customHeight="1">
      <c r="A11" s="34" t="inlineStr">
        <is>
          <t>1. 기본정보</t>
        </is>
      </c>
    </row>
    <row r="12" ht="22" customHeight="1">
      <c r="A12" s="23" t="inlineStr">
        <is>
          <t>기업명</t>
        </is>
      </c>
      <c r="B12" s="52">
        <f>'Mobility_Extended'!B4</f>
        <v/>
      </c>
      <c r="D12" s="23" t="inlineStr">
        <is>
          <t>대표자</t>
        </is>
      </c>
      <c r="E12" s="52">
        <f>'Mobility_Extended'!B5</f>
        <v/>
      </c>
      <c r="G12" s="23" t="inlineStr">
        <is>
          <t>검토일</t>
        </is>
      </c>
      <c r="H12" s="52">
        <f>'Mobility_Extended'!B6</f>
        <v/>
      </c>
    </row>
    <row r="13" ht="22" customHeight="1">
      <c r="A13" s="23" t="inlineStr">
        <is>
          <t>심사역</t>
        </is>
      </c>
      <c r="B13" s="52">
        <f>'Mobility_Extended'!B7</f>
        <v/>
      </c>
      <c r="D13" s="23" t="inlineStr">
        <is>
          <t>기술 분야</t>
        </is>
      </c>
      <c r="E13" s="52">
        <f>'Mobility_Extended'!B8</f>
        <v/>
      </c>
      <c r="G13" s="23" t="inlineStr">
        <is>
          <t>단계</t>
        </is>
      </c>
      <c r="H13" s="52">
        <f>'Mobility_Extended'!B9</f>
        <v/>
      </c>
    </row>
    <row r="14" ht="22" customHeight="1">
      <c r="A14" s="23" t="inlineStr">
        <is>
          <t>검토 목적</t>
        </is>
      </c>
      <c r="B14" s="52">
        <f>'Mobility_Extended'!B10</f>
        <v/>
      </c>
      <c r="D14" s="23" t="inlineStr">
        <is>
          <t>총점</t>
        </is>
      </c>
      <c r="E14" s="52">
        <f>'Mobility_Extended'!F4</f>
        <v/>
      </c>
      <c r="G14" s="23" t="inlineStr">
        <is>
          <t>권고안</t>
        </is>
      </c>
      <c r="H14" s="52">
        <f>'Mobility_Extended'!F5</f>
        <v/>
      </c>
    </row>
    <row r="15" ht="22" customHeight="1">
      <c r="A15" s="34" t="inlineStr">
        <is>
          <t>2. TIPS 핵심 지표</t>
        </is>
      </c>
    </row>
    <row r="16" ht="22" customHeight="1">
      <c r="A16" s="25" t="inlineStr">
        <is>
          <t>총점</t>
        </is>
      </c>
      <c r="D16" s="25" t="inlineStr">
        <is>
          <t>TIPS 평균점수</t>
        </is>
      </c>
      <c r="G16" s="25" t="inlineStr">
        <is>
          <t>TIPS 실행 준비도</t>
        </is>
      </c>
      <c r="J16" s="25" t="inlineStr">
        <is>
          <t>1차 권고안</t>
        </is>
      </c>
    </row>
    <row r="17" ht="24" customHeight="1">
      <c r="A17" s="54">
        <f>'Mobility_Extended'!F4</f>
        <v/>
      </c>
      <c r="D17" s="54">
        <f>'Mobility_Extended'!F6</f>
        <v/>
      </c>
      <c r="G17" s="54">
        <f>ROUND(AVERAGE('Mobility_Extended'!D29,'Mobility_Extended'!D30),1)</f>
        <v/>
      </c>
      <c r="J17" s="54">
        <f>IF(J29="딥테크트랙 우선","딥테크트랙 추천 검토",IF(J29="일반트랙 우선","일반트랙 추천 검토","추가 준비 필요"))</f>
        <v/>
      </c>
    </row>
    <row r="18" ht="24" customHeight="1"/>
    <row r="19" ht="22" customHeight="1">
      <c r="A19" s="55" t="inlineStr">
        <is>
          <t>3. TIPS 추천 포인트</t>
        </is>
      </c>
      <c r="E19" s="55" t="inlineStr">
        <is>
          <t>4. 보완 필요사항</t>
        </is>
      </c>
      <c r="I19" s="55" t="inlineStr">
        <is>
          <t>5. 추천 액션 포인트</t>
        </is>
      </c>
    </row>
    <row r="20" ht="22" customHeight="1">
      <c r="A20" s="39" t="inlineStr">
        <is>
          <t>• 기술 차별성
• 민간투자 적합성
• 사업화 가능성</t>
        </is>
      </c>
      <c r="E20" s="39" t="inlineStr">
        <is>
          <t>• 기술 검증 데이터 추가
• 시장/고객 근거 보강
• 사업계획 정밀화</t>
        </is>
      </c>
      <c r="I20" s="39" t="inlineStr">
        <is>
          <t>• 즉시 추천
• 조건부 추천
• 3개월 내 보완
• 추가 검증 후 재심</t>
        </is>
      </c>
    </row>
    <row r="21" ht="22" customHeight="1"/>
    <row r="22" ht="22" customHeight="1"/>
    <row r="23" ht="22" customHeight="1"/>
    <row r="24" ht="22" customHeight="1"/>
    <row r="25" ht="22" customHeight="1">
      <c r="A25" s="34" t="inlineStr">
        <is>
          <t>6. TIPS 관련 점수 요약</t>
        </is>
      </c>
      <c r="I25" s="34" t="inlineStr">
        <is>
          <t>7. 추천 및 후속조치</t>
        </is>
      </c>
    </row>
    <row r="26" ht="22" customHeight="1">
      <c r="A26" s="29" t="inlineStr">
        <is>
          <t>평가영역</t>
        </is>
      </c>
      <c r="B26" s="29" t="inlineStr">
        <is>
          <t>배점</t>
        </is>
      </c>
      <c r="C26" s="29" t="inlineStr">
        <is>
          <t>입력점수</t>
        </is>
      </c>
      <c r="D26" s="29" t="inlineStr">
        <is>
          <t>환산점수</t>
        </is>
      </c>
      <c r="I26" s="56" t="inlineStr">
        <is>
          <t>추천 트랙 자동 판정</t>
        </is>
      </c>
    </row>
    <row r="27" ht="22" customHeight="1">
      <c r="A27" s="31">
        <f>'Mobility_Extended'!A16</f>
        <v/>
      </c>
      <c r="B27" s="32">
        <f>'Mobility_Extended'!C16</f>
        <v/>
      </c>
      <c r="C27" s="32">
        <f>'Mobility_Extended'!D16</f>
        <v/>
      </c>
      <c r="D27" s="32">
        <f>'Mobility_Extended'!E16</f>
        <v/>
      </c>
      <c r="I27" s="23" t="inlineStr">
        <is>
          <t>일반트랙 적합성</t>
        </is>
      </c>
      <c r="J27" s="57">
        <f>ROUND(AVERAGE('Mobility_Extended'!D27,'Mobility_Extended'!D28),1)</f>
        <v/>
      </c>
    </row>
    <row r="28" ht="22" customHeight="1">
      <c r="A28" s="31">
        <f>'Mobility_Extended'!A17</f>
        <v/>
      </c>
      <c r="B28" s="32">
        <f>'Mobility_Extended'!C17</f>
        <v/>
      </c>
      <c r="C28" s="32">
        <f>'Mobility_Extended'!D17</f>
        <v/>
      </c>
      <c r="D28" s="32">
        <f>'Mobility_Extended'!E17</f>
        <v/>
      </c>
      <c r="I28" s="23" t="inlineStr">
        <is>
          <t>딥테크트랙 적합성</t>
        </is>
      </c>
      <c r="J28" s="57">
        <f>ROUND(AVERAGE('Mobility_Extended'!D29,'Mobility_Extended'!D30),1)</f>
        <v/>
      </c>
    </row>
    <row r="29" ht="22" customHeight="1">
      <c r="A29" s="31">
        <f>'Mobility_Extended'!A24</f>
        <v/>
      </c>
      <c r="B29" s="32">
        <f>'Mobility_Extended'!C24</f>
        <v/>
      </c>
      <c r="C29" s="32">
        <f>'Mobility_Extended'!D24</f>
        <v/>
      </c>
      <c r="D29" s="32">
        <f>'Mobility_Extended'!E24</f>
        <v/>
      </c>
      <c r="I29" s="23" t="inlineStr">
        <is>
          <t>최종 트랙 판정</t>
        </is>
      </c>
      <c r="J29" s="58">
        <f>IF(AND(J28&gt;=4.0,J27&gt;=3.5),"딥테크트랙 우선",IF(J27&gt;=3.5,"일반트랙 우선","추가 준비 필요"))</f>
        <v/>
      </c>
    </row>
    <row r="30" ht="22" customHeight="1">
      <c r="A30" s="31">
        <f>'Mobility_Extended'!A27</f>
        <v/>
      </c>
      <c r="B30" s="32">
        <f>'Mobility_Extended'!C27</f>
        <v/>
      </c>
      <c r="C30" s="32">
        <f>'Mobility_Extended'!D27</f>
        <v/>
      </c>
      <c r="D30" s="32">
        <f>'Mobility_Extended'!E27</f>
        <v/>
      </c>
      <c r="I30" s="56" t="inlineStr">
        <is>
          <t>판정 기준</t>
        </is>
      </c>
    </row>
    <row r="31" ht="34" customHeight="1">
      <c r="A31" s="31">
        <f>'Mobility_Extended'!A28</f>
        <v/>
      </c>
      <c r="B31" s="32">
        <f>'Mobility_Extended'!C28</f>
        <v/>
      </c>
      <c r="C31" s="32">
        <f>'Mobility_Extended'!D28</f>
        <v/>
      </c>
      <c r="D31" s="32">
        <f>'Mobility_Extended'!E28</f>
        <v/>
      </c>
      <c r="I31" s="59" t="inlineStr">
        <is>
          <t>일반트랙: 3.5 이상 / 딥테크트랙: 딥테크 적합성 4.0 이상 + 일반트랙 적합성 3.5 이상</t>
        </is>
      </c>
    </row>
    <row r="32" ht="22" customHeight="1">
      <c r="A32" s="31">
        <f>'Mobility_Extended'!A29</f>
        <v/>
      </c>
      <c r="B32" s="32">
        <f>'Mobility_Extended'!C29</f>
        <v/>
      </c>
      <c r="C32" s="32">
        <f>'Mobility_Extended'!D29</f>
        <v/>
      </c>
      <c r="D32" s="32">
        <f>'Mobility_Extended'!E29</f>
        <v/>
      </c>
      <c r="I32" s="56" t="inlineStr">
        <is>
          <t>검토 메모</t>
        </is>
      </c>
    </row>
    <row r="33" ht="26" customHeight="1">
      <c r="A33" s="31">
        <f>'Mobility_Extended'!A30</f>
        <v/>
      </c>
      <c r="B33" s="32">
        <f>'Mobility_Extended'!C30</f>
        <v/>
      </c>
      <c r="C33" s="32">
        <f>'Mobility_Extended'!D30</f>
        <v/>
      </c>
      <c r="D33" s="32">
        <f>'Mobility_Extended'!E30</f>
        <v/>
      </c>
      <c r="I33" s="60" t="inlineStr">
        <is>
          <t>TIPS 발표자료, 사업계획서, 추천 시점 관련 코멘트 입력</t>
        </is>
      </c>
    </row>
    <row r="34" ht="22" customHeight="1"/>
    <row r="35" ht="22" customHeight="1">
      <c r="A35" s="34" t="inlineStr">
        <is>
          <t>8. 승인 및 제출</t>
        </is>
      </c>
    </row>
    <row r="36" ht="22" customHeight="1">
      <c r="A36" s="23" t="inlineStr">
        <is>
          <t>작성</t>
        </is>
      </c>
      <c r="B36" s="52" t="inlineStr">
        <is>
          <t>심사팀</t>
        </is>
      </c>
      <c r="D36" s="23" t="inlineStr">
        <is>
          <t>검토</t>
        </is>
      </c>
      <c r="E36" s="52" t="inlineStr">
        <is>
          <t>투자본부장</t>
        </is>
      </c>
      <c r="G36" s="23" t="inlineStr">
        <is>
          <t>승인</t>
        </is>
      </c>
      <c r="H36" s="52" t="inlineStr">
        <is>
          <t>대표/파트너</t>
        </is>
      </c>
      <c r="J36" s="23" t="inlineStr">
        <is>
          <t>제출일</t>
        </is>
      </c>
      <c r="K36" s="52" t="inlineStr">
        <is>
          <t>YYYY-MM-DD</t>
        </is>
      </c>
    </row>
  </sheetData>
  <mergeCells count="42">
    <mergeCell ref="E12:F12"/>
    <mergeCell ref="A7:L7"/>
    <mergeCell ref="J27:L27"/>
    <mergeCell ref="E14:F14"/>
    <mergeCell ref="A19:D19"/>
    <mergeCell ref="A20:D24"/>
    <mergeCell ref="K36:L36"/>
    <mergeCell ref="J17:L18"/>
    <mergeCell ref="I19:L19"/>
    <mergeCell ref="D16:F16"/>
    <mergeCell ref="I20:L24"/>
    <mergeCell ref="B12:C12"/>
    <mergeCell ref="J16:L16"/>
    <mergeCell ref="A25:H25"/>
    <mergeCell ref="I31:L31"/>
    <mergeCell ref="I30:L30"/>
    <mergeCell ref="B14:C14"/>
    <mergeCell ref="E13:F13"/>
    <mergeCell ref="H36:I36"/>
    <mergeCell ref="G17:I18"/>
    <mergeCell ref="D17:F18"/>
    <mergeCell ref="I33:L34"/>
    <mergeCell ref="A35:L35"/>
    <mergeCell ref="B13:C13"/>
    <mergeCell ref="G16:I16"/>
    <mergeCell ref="A10:L10"/>
    <mergeCell ref="I26:L26"/>
    <mergeCell ref="E36:F36"/>
    <mergeCell ref="I32:L32"/>
    <mergeCell ref="H13:L13"/>
    <mergeCell ref="E19:H19"/>
    <mergeCell ref="I25:L25"/>
    <mergeCell ref="E20:H24"/>
    <mergeCell ref="J29:L29"/>
    <mergeCell ref="H12:I12"/>
    <mergeCell ref="A15:L15"/>
    <mergeCell ref="J28:L28"/>
    <mergeCell ref="A11:L11"/>
    <mergeCell ref="B36:C36"/>
    <mergeCell ref="A17:C18"/>
    <mergeCell ref="H14:L14"/>
    <mergeCell ref="A16:C16"/>
  </mergeCells>
  <pageMargins left="0.3" right="0.3" top="0.35" bottom="0.35" header="0.15" footer="0.15"/>
  <pageSetup orientation="landscape" fitToHeight="1" fitToWidth="1"/>
  <headerFooter>
    <oddHeader/>
    <oddFooter>&amp;CConfidential  |  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32" customWidth="1" min="4" max="4"/>
    <col width="20" customWidth="1" min="6" max="6"/>
    <col width="16" customWidth="1" min="7" max="7"/>
    <col width="16" customWidth="1" min="8" max="8"/>
  </cols>
  <sheetData>
    <row r="1">
      <c r="A1" s="4" t="inlineStr">
        <is>
          <t>딥테크 보정평가표</t>
        </is>
      </c>
    </row>
    <row r="3">
      <c r="A3" s="2" t="inlineStr">
        <is>
          <t>치명적 리스크 점검</t>
        </is>
      </c>
    </row>
    <row r="4">
      <c r="A4" s="7" t="inlineStr">
        <is>
          <t>No.</t>
        </is>
      </c>
      <c r="B4" s="7" t="inlineStr">
        <is>
          <t>치명적 리스크 항목</t>
        </is>
      </c>
      <c r="C4" s="7" t="inlineStr">
        <is>
          <t>체크</t>
        </is>
      </c>
      <c r="D4" s="7" t="inlineStr">
        <is>
          <t>코멘트</t>
        </is>
      </c>
      <c r="F4" s="2" t="inlineStr">
        <is>
          <t>보정 메모</t>
        </is>
      </c>
    </row>
    <row r="5">
      <c r="A5" s="9" t="n">
        <v>1</v>
      </c>
      <c r="B5" s="10" t="inlineStr">
        <is>
          <t>핵심 IP 분쟁 가능성이 높다</t>
        </is>
      </c>
      <c r="C5" s="18" t="inlineStr">
        <is>
          <t>[  ]</t>
        </is>
      </c>
      <c r="D5" s="16" t="inlineStr"/>
      <c r="F5" s="17" t="n"/>
      <c r="G5" s="19" t="n"/>
      <c r="H5" s="20" t="n"/>
    </row>
    <row r="6">
      <c r="A6" s="9" t="n">
        <v>2</v>
      </c>
      <c r="B6" s="10" t="inlineStr">
        <is>
          <t>공동창업자 또는 핵심기술 인력 이탈 위험이 높다</t>
        </is>
      </c>
      <c r="C6" s="18" t="inlineStr">
        <is>
          <t>[  ]</t>
        </is>
      </c>
      <c r="D6" s="16" t="inlineStr"/>
      <c r="F6" s="17" t="n"/>
      <c r="G6" s="19" t="n"/>
      <c r="H6" s="20" t="n"/>
    </row>
    <row r="7">
      <c r="A7" s="9" t="n">
        <v>3</v>
      </c>
      <c r="B7" s="10" t="inlineStr">
        <is>
          <t>고객 적용이 구조적으로 매우 어렵다</t>
        </is>
      </c>
      <c r="C7" s="18" t="inlineStr">
        <is>
          <t>[  ]</t>
        </is>
      </c>
      <c r="D7" s="16" t="inlineStr"/>
      <c r="F7" s="17" t="n"/>
      <c r="G7" s="19" t="n"/>
      <c r="H7" s="20" t="n"/>
    </row>
    <row r="8">
      <c r="A8" s="9" t="n">
        <v>4</v>
      </c>
      <c r="B8" s="10" t="inlineStr">
        <is>
          <t>기술 성능 데이터 신뢰성이 낮다</t>
        </is>
      </c>
      <c r="C8" s="18" t="inlineStr">
        <is>
          <t>[  ]</t>
        </is>
      </c>
      <c r="D8" s="16" t="inlineStr"/>
      <c r="F8" s="17" t="n"/>
      <c r="G8" s="19" t="n"/>
      <c r="H8" s="20" t="n"/>
    </row>
    <row r="9">
      <c r="A9" s="9" t="n">
        <v>5</v>
      </c>
      <c r="B9" s="10" t="inlineStr">
        <is>
          <t>인증/규제로 인해 상용화가 장기간 지연될 가능성이 높다</t>
        </is>
      </c>
      <c r="C9" s="18" t="inlineStr">
        <is>
          <t>[  ]</t>
        </is>
      </c>
      <c r="D9" s="16" t="inlineStr"/>
      <c r="F9" s="17" t="n"/>
      <c r="G9" s="19" t="n"/>
      <c r="H9" s="20" t="n"/>
    </row>
    <row r="10">
      <c r="A10" s="9" t="n">
        <v>6</v>
      </c>
      <c r="B10" s="10" t="inlineStr">
        <is>
          <t>자금소진 속도가 지나치게 빠르다</t>
        </is>
      </c>
      <c r="C10" s="18" t="inlineStr">
        <is>
          <t>[  ]</t>
        </is>
      </c>
      <c r="D10" s="16" t="inlineStr"/>
      <c r="F10" s="17" t="n"/>
      <c r="G10" s="19" t="n"/>
      <c r="H10" s="20" t="n"/>
    </row>
    <row r="11">
      <c r="A11" s="9" t="n">
        <v>7</v>
      </c>
      <c r="B11" s="10" t="inlineStr">
        <is>
          <t>양산 또는 공급망 병목이 치명적이다</t>
        </is>
      </c>
      <c r="C11" s="18" t="inlineStr">
        <is>
          <t>[  ]</t>
        </is>
      </c>
      <c r="D11" s="16" t="inlineStr"/>
      <c r="F11" s="17" t="n"/>
      <c r="G11" s="19" t="n"/>
      <c r="H11" s="20" t="n"/>
    </row>
    <row r="13">
      <c r="A13" s="2" t="inlineStr">
        <is>
          <t>전략적 가산 요소</t>
        </is>
      </c>
      <c r="F13" s="2" t="inlineStr">
        <is>
          <t>권장 사용법</t>
        </is>
      </c>
    </row>
    <row r="14">
      <c r="A14" s="7" t="inlineStr">
        <is>
          <t>No.</t>
        </is>
      </c>
      <c r="B14" s="7" t="inlineStr">
        <is>
          <t>전략적 가산 요소</t>
        </is>
      </c>
      <c r="C14" s="7" t="inlineStr">
        <is>
          <t>체크</t>
        </is>
      </c>
      <c r="D14" s="7" t="inlineStr">
        <is>
          <t>코멘트</t>
        </is>
      </c>
      <c r="F14" s="3" t="inlineStr">
        <is>
          <t>총점만으로 의사결정하지 말고, Adjustment 시트의 치명적 리스크를 함께 확인합니다.</t>
        </is>
      </c>
    </row>
    <row r="15">
      <c r="A15" s="9" t="n">
        <v>1</v>
      </c>
      <c r="B15" s="10" t="inlineStr">
        <is>
          <t>대기업 또는 CVC의 명확한 관심이 존재한다</t>
        </is>
      </c>
      <c r="C15" s="18" t="inlineStr">
        <is>
          <t>[  ]</t>
        </is>
      </c>
      <c r="D15" s="16" t="inlineStr"/>
      <c r="F15" s="3" t="inlineStr">
        <is>
          <t>Semiconductor_Extended 또는 Mobility_Extended의 총점이 높더라도 치명적 리스크가 크면 보류 가능합니다.</t>
        </is>
      </c>
    </row>
    <row r="16">
      <c r="A16" s="9" t="n">
        <v>2</v>
      </c>
      <c r="B16" s="10" t="inlineStr">
        <is>
          <t>TIPS 적합성이 높다</t>
        </is>
      </c>
      <c r="C16" s="18" t="inlineStr">
        <is>
          <t>[  ]</t>
        </is>
      </c>
      <c r="D16" s="16" t="inlineStr"/>
      <c r="F16" s="3" t="inlineStr">
        <is>
          <t>TIPS 평균점수와 CVC 평균점수는 정책연계/전략연계 관점의 참고지표입니다.</t>
        </is>
      </c>
    </row>
    <row r="17">
      <c r="A17" s="9" t="n">
        <v>3</v>
      </c>
      <c r="B17" s="10" t="inlineStr">
        <is>
          <t>정부 R&amp;D 연계 가능성이 높다</t>
        </is>
      </c>
      <c r="C17" s="18" t="inlineStr">
        <is>
          <t>[  ]</t>
        </is>
      </c>
      <c r="D17" s="16" t="inlineStr"/>
    </row>
    <row r="18">
      <c r="A18" s="9" t="n">
        <v>4</v>
      </c>
      <c r="B18" s="10" t="inlineStr">
        <is>
          <t>공동개발 또는 기술이전 가능성이 높다</t>
        </is>
      </c>
      <c r="C18" s="18" t="inlineStr">
        <is>
          <t>[  ]</t>
        </is>
      </c>
      <c r="D18" s="16" t="inlineStr"/>
    </row>
    <row r="19">
      <c r="A19" s="9" t="n">
        <v>5</v>
      </c>
      <c r="B19" s="10" t="inlineStr">
        <is>
          <t>해외 고객 또는 해외 파트너 연계 가능성이 높다</t>
        </is>
      </c>
      <c r="C19" s="18" t="inlineStr">
        <is>
          <t>[  ]</t>
        </is>
      </c>
      <c r="D19" s="16" t="inlineStr"/>
    </row>
    <row r="20">
      <c r="A20" s="9" t="n">
        <v>6</v>
      </c>
      <c r="B20" s="10" t="inlineStr">
        <is>
          <t>산업 파급효과가 크다</t>
        </is>
      </c>
      <c r="C20" s="18" t="inlineStr">
        <is>
          <t>[  ]</t>
        </is>
      </c>
      <c r="D20" s="16" t="inlineStr"/>
    </row>
  </sheetData>
  <mergeCells count="7">
    <mergeCell ref="F10:H10"/>
    <mergeCell ref="F6:H6"/>
    <mergeCell ref="F5:H5"/>
    <mergeCell ref="F8:H8"/>
    <mergeCell ref="F9:H9"/>
    <mergeCell ref="F7:H7"/>
    <mergeCell ref="F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2026-03-18T13:17:39Z</dcterms:created>
  <dcterms:modified xmlns:dcterms="http://purl.org/dc/terms/" xmlns:xsi="http://www.w3.org/2001/XMLSchema-instance" xsi:type="dcterms:W3CDTF">2026-03-18T14:46:11Z</dcterms:modified>
</cp:coreProperties>
</file>