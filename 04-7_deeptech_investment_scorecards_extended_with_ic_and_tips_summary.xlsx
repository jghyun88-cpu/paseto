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iconductor_Extended" sheetId="2" state="visible" r:id="rId2"/>
    <sheet xmlns:r="http://schemas.openxmlformats.org/officeDocument/2006/relationships" name="IC_Summary_Semiconductor" sheetId="3" state="visible" r:id="rId3"/>
    <sheet xmlns:r="http://schemas.openxmlformats.org/officeDocument/2006/relationships" name="TIPS_Summary_Semiconductor" sheetId="4" state="visible" r:id="rId4"/>
    <sheet xmlns:r="http://schemas.openxmlformats.org/officeDocument/2006/relationships" name="Mobility_Extended" sheetId="5" state="visible" r:id="rId5"/>
    <sheet xmlns:r="http://schemas.openxmlformats.org/officeDocument/2006/relationships" name="IC_Summary_Mobility" sheetId="6" state="visible" r:id="rId6"/>
    <sheet xmlns:r="http://schemas.openxmlformats.org/officeDocument/2006/relationships" name="TIPS_Summary_Mobility" sheetId="7" state="visible" r:id="rId7"/>
    <sheet xmlns:r="http://schemas.openxmlformats.org/officeDocument/2006/relationships" name="Adjustment" sheetId="8" state="visible" r:id="rId8"/>
  </sheets>
  <definedNames>
    <definedName name="_xlnm.Print_Area" localSheetId="2">'IC_Summary_Semiconductor'!$A$1:$L$36</definedName>
    <definedName name="_xlnm.Print_Area" localSheetId="3">'TIPS_Summary_Semiconductor'!$A$1:$L$36</definedName>
    <definedName name="_xlnm.Print_Area" localSheetId="5">'IC_Summary_Mobility'!$A$1:$L$36</definedName>
    <definedName name="_xlnm.Print_Area" localSheetId="6">'TIPS_Summary_Mobility'!$A$1:$L$36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  <font>
      <b val="1"/>
      <color rgb="001F4E78"/>
      <sz val="15"/>
    </font>
    <font>
      <b val="1"/>
      <color rgb="00FFFFFF"/>
      <sz val="11"/>
    </font>
    <font>
      <b val="1"/>
      <color rgb="00111827"/>
      <sz val="10"/>
    </font>
    <font>
      <color rgb="000000FF"/>
      <sz val="10"/>
    </font>
    <font>
      <b val="1"/>
      <color rgb="00111827"/>
      <sz val="11"/>
    </font>
    <font>
      <b val="1"/>
      <color rgb="001F4E78"/>
      <sz val="14"/>
    </font>
    <font>
      <sz val="10"/>
    </font>
    <font>
      <color rgb="00111827"/>
      <sz val="9"/>
    </font>
    <font>
      <sz val="9"/>
    </font>
    <font>
      <color rgb="00111827"/>
      <sz val="10"/>
    </font>
    <font>
      <b val="1"/>
      <color rgb="00163A5F"/>
      <sz val="16"/>
    </font>
    <font>
      <b val="1"/>
      <color rgb="00163A5F"/>
      <sz val="14"/>
    </font>
  </fonts>
  <fills count="13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F0EE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163A5F"/>
      </patternFill>
    </fill>
  </fills>
  <borders count="1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6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9" fillId="0" borderId="16" applyAlignment="1" pivotButton="0" quotePrefix="0" xfId="0">
      <alignment horizontal="left" vertical="center"/>
    </xf>
    <xf numFmtId="0" fontId="11" fillId="12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center"/>
    </xf>
    <xf numFmtId="0" fontId="21" fillId="9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딥테크 투자심사 점수평가표 - TIPS/CVC 확장판</t>
        </is>
      </c>
    </row>
    <row r="3">
      <c r="A3" s="2" t="inlineStr">
        <is>
          <t>구성</t>
        </is>
      </c>
    </row>
    <row r="4">
      <c r="A4" s="3" t="inlineStr">
        <is>
          <t>1. Semiconductor_Extended : 반도체 기업용 확장 점수평가표</t>
        </is>
      </c>
    </row>
    <row r="5">
      <c r="A5" s="3" t="inlineStr">
        <is>
          <t>2. Mobility_Extended : 모빌리티 기업용 확장 점수평가표</t>
        </is>
      </c>
    </row>
    <row r="6">
      <c r="A6" s="3" t="inlineStr">
        <is>
          <t>3. Adjustment : 딥테크 보정평가표</t>
        </is>
      </c>
    </row>
    <row r="7">
      <c r="A7" s="3" t="inlineStr">
        <is>
          <t>4. 모든 점수는 1~5 입력, 환산점수·총점·권고안 자동 계산</t>
        </is>
      </c>
    </row>
    <row r="8">
      <c r="A8" s="3" t="inlineStr">
        <is>
          <t>5. TIPS 적합성 및 CVC 매칭 가능성 항목이 추가된 버전</t>
        </is>
      </c>
    </row>
    <row r="11">
      <c r="A11" s="2" t="inlineStr">
        <is>
          <t>점수 기준</t>
        </is>
      </c>
    </row>
    <row r="12">
      <c r="A12" s="3" t="inlineStr">
        <is>
          <t>5점 매우 우수</t>
        </is>
      </c>
    </row>
    <row r="13">
      <c r="A13" s="3" t="inlineStr">
        <is>
          <t>4점 우수</t>
        </is>
      </c>
    </row>
    <row r="14">
      <c r="A14" s="3" t="inlineStr">
        <is>
          <t>3점 보통</t>
        </is>
      </c>
    </row>
    <row r="15">
      <c r="A15" s="3" t="inlineStr">
        <is>
          <t>2점 미흡</t>
        </is>
      </c>
    </row>
    <row r="16">
      <c r="A16" s="3" t="inlineStr">
        <is>
          <t>1점 매우 미흡</t>
        </is>
      </c>
    </row>
    <row r="19">
      <c r="A19" s="2" t="inlineStr">
        <is>
          <t>권고안 기준</t>
        </is>
      </c>
    </row>
    <row r="20">
      <c r="A20" s="3" t="inlineStr">
        <is>
          <t>85점 이상 적극 투자검토</t>
        </is>
      </c>
    </row>
    <row r="21">
      <c r="A21" s="3" t="inlineStr">
        <is>
          <t>70~84점 조건부 투자검토</t>
        </is>
      </c>
    </row>
    <row r="22">
      <c r="A22" s="3" t="inlineStr">
        <is>
          <t>55~69점 PoC/보육 우선</t>
        </is>
      </c>
    </row>
    <row r="23">
      <c r="A23" s="3" t="inlineStr">
        <is>
          <t>54점 이하 부적합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반도체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9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6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전략 적합성</t>
        </is>
      </c>
      <c r="C27" s="11" t="n">
        <v>5</v>
      </c>
      <c r="D27" s="12" t="inlineStr"/>
      <c r="E27" s="13">
        <f>IF(D27="",0,D27/5*C27)</f>
        <v/>
      </c>
      <c r="F27" s="10" t="inlineStr"/>
    </row>
    <row r="28">
      <c r="A28" s="9" t="inlineStr">
        <is>
          <t>전략성</t>
        </is>
      </c>
      <c r="B28" s="10" t="inlineStr">
        <is>
          <t>CVC 전환 가능성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적합성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정책연계</t>
        </is>
      </c>
      <c r="B30" s="10" t="inlineStr">
        <is>
          <t>TIPS 실행 준비도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5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2" t="n"/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IC-SEMI-2026-001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Semiconductor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Semiconductor 투자심사 IC 요약서</t>
        </is>
      </c>
    </row>
    <row r="11" ht="22" customHeight="1">
      <c r="A11" s="34" t="inlineStr">
        <is>
          <t>1. 기본정보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2" t="n"/>
    </row>
    <row r="12" ht="22" customHeight="1">
      <c r="A12" s="23" t="inlineStr">
        <is>
          <t>기업명</t>
        </is>
      </c>
      <c r="B12" s="35">
        <f>'Semiconductor_Extended'!B4</f>
        <v/>
      </c>
      <c r="C12" s="42" t="n"/>
      <c r="D12" s="23" t="inlineStr">
        <is>
          <t>대표자</t>
        </is>
      </c>
      <c r="E12" s="35">
        <f>'Semiconductor_Extended'!B5</f>
        <v/>
      </c>
      <c r="F12" s="42" t="n"/>
      <c r="G12" s="23" t="inlineStr">
        <is>
          <t>검토일</t>
        </is>
      </c>
      <c r="H12" s="35">
        <f>'Semiconductor_Extended'!B6</f>
        <v/>
      </c>
      <c r="I12" s="42" t="n"/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'Semiconductor_Extended'!B7</f>
        <v/>
      </c>
      <c r="C13" s="42" t="n"/>
      <c r="D13" s="23" t="inlineStr">
        <is>
          <t>기술 분야</t>
        </is>
      </c>
      <c r="E13" s="35">
        <f>'Semiconductor_Extended'!B8</f>
        <v/>
      </c>
      <c r="F13" s="42" t="n"/>
      <c r="G13" s="23" t="inlineStr">
        <is>
          <t>단계</t>
        </is>
      </c>
      <c r="H13" s="35">
        <f>'Semiconductor_Extended'!B9</f>
        <v/>
      </c>
      <c r="I13" s="41" t="n"/>
      <c r="J13" s="41" t="n"/>
      <c r="K13" s="41" t="n"/>
      <c r="L13" s="42" t="n"/>
    </row>
    <row r="14" ht="22" customHeight="1">
      <c r="A14" s="23" t="inlineStr">
        <is>
          <t>검토 목적</t>
        </is>
      </c>
      <c r="B14" s="35">
        <f>'Semiconductor_Extended'!B10</f>
        <v/>
      </c>
      <c r="C14" s="42" t="n"/>
      <c r="D14" s="23" t="inlineStr">
        <is>
          <t>총점</t>
        </is>
      </c>
      <c r="E14" s="35">
        <f>'Semiconductor_Extended'!F4</f>
        <v/>
      </c>
      <c r="F14" s="42" t="n"/>
      <c r="G14" s="23" t="inlineStr">
        <is>
          <t>권고안</t>
        </is>
      </c>
      <c r="H14" s="35">
        <f>'Semiconductor_Extended'!F5</f>
        <v/>
      </c>
      <c r="I14" s="41" t="n"/>
      <c r="J14" s="41" t="n"/>
      <c r="K14" s="41" t="n"/>
      <c r="L14" s="42" t="n"/>
    </row>
    <row r="15" ht="22" customHeight="1">
      <c r="A15" s="34" t="inlineStr">
        <is>
          <t>2. 핵심 지표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2" t="n"/>
    </row>
    <row r="16" ht="22" customHeight="1">
      <c r="A16" s="25" t="inlineStr">
        <is>
          <t>총점</t>
        </is>
      </c>
      <c r="B16" s="41" t="n"/>
      <c r="C16" s="42" t="n"/>
      <c r="D16" s="25" t="inlineStr">
        <is>
          <t>권고안</t>
        </is>
      </c>
      <c r="E16" s="41" t="n"/>
      <c r="F16" s="42" t="n"/>
      <c r="G16" s="25" t="inlineStr">
        <is>
          <t>TIPS 평균점수</t>
        </is>
      </c>
      <c r="H16" s="41" t="n"/>
      <c r="I16" s="42" t="n"/>
      <c r="J16" s="25" t="inlineStr">
        <is>
          <t>CVC 평균점수</t>
        </is>
      </c>
      <c r="K16" s="41" t="n"/>
      <c r="L16" s="42" t="n"/>
    </row>
    <row r="17" ht="22" customHeight="1">
      <c r="A17" s="37">
        <f>'Semiconductor_Extended'!F4</f>
        <v/>
      </c>
      <c r="B17" s="43" t="n"/>
      <c r="C17" s="44" t="n"/>
      <c r="D17" s="37">
        <f>'Semiconductor_Extended'!F5</f>
        <v/>
      </c>
      <c r="E17" s="43" t="n"/>
      <c r="F17" s="44" t="n"/>
      <c r="G17" s="37">
        <f>'Semiconductor_Extended'!F6</f>
        <v/>
      </c>
      <c r="H17" s="43" t="n"/>
      <c r="I17" s="44" t="n"/>
      <c r="J17" s="37">
        <f>'Semiconductor_Extended'!F7</f>
        <v/>
      </c>
      <c r="K17" s="43" t="n"/>
      <c r="L17" s="44" t="n"/>
    </row>
    <row r="18" ht="22" customHeight="1">
      <c r="A18" s="45" t="n"/>
      <c r="B18" s="46" t="n"/>
      <c r="C18" s="47" t="n"/>
      <c r="D18" s="45" t="n"/>
      <c r="E18" s="46" t="n"/>
      <c r="F18" s="47" t="n"/>
      <c r="G18" s="45" t="n"/>
      <c r="H18" s="46" t="n"/>
      <c r="I18" s="47" t="n"/>
      <c r="J18" s="45" t="n"/>
      <c r="K18" s="46" t="n"/>
      <c r="L18" s="47" t="n"/>
    </row>
    <row r="19" ht="22" customHeight="1">
      <c r="A19" s="38" t="inlineStr">
        <is>
          <t>3. 상위 강점</t>
        </is>
      </c>
      <c r="B19" s="41" t="n"/>
      <c r="C19" s="41" t="n"/>
      <c r="D19" s="42" t="n"/>
      <c r="E19" s="38" t="inlineStr">
        <is>
          <t>4. 핵심 리스크</t>
        </is>
      </c>
      <c r="F19" s="41" t="n"/>
      <c r="G19" s="41" t="n"/>
      <c r="H19" s="42" t="n"/>
      <c r="I19" s="38" t="inlineStr">
        <is>
          <t>5. IC 액션 포인트</t>
        </is>
      </c>
      <c r="J19" s="41" t="n"/>
      <c r="K19" s="41" t="n"/>
      <c r="L19" s="42" t="n"/>
    </row>
    <row r="20" ht="22" customHeight="1">
      <c r="A20" s="39" t="inlineStr">
        <is>
          <t>• 핵심기술 차별성
• 사업화 경로 명확성
• 팀 실행력</t>
        </is>
      </c>
      <c r="B20" s="43" t="n"/>
      <c r="C20" s="43" t="n"/>
      <c r="D20" s="44" t="n"/>
      <c r="E20" s="39" t="inlineStr">
        <is>
          <t>• 기술/성능 불확실성
• 양산/실증 지연
• 규제/고객 도입 리스크</t>
        </is>
      </c>
      <c r="F20" s="43" t="n"/>
      <c r="G20" s="43" t="n"/>
      <c r="H20" s="44" t="n"/>
      <c r="I20" s="39" t="inlineStr">
        <is>
          <t>• 즉시 투자
• 조건부 투자
• PoC 우선
• 보육 우선</t>
        </is>
      </c>
      <c r="J20" s="43" t="n"/>
      <c r="K20" s="43" t="n"/>
      <c r="L20" s="44" t="n"/>
    </row>
    <row r="21" ht="22" customHeight="1">
      <c r="A21" s="48" t="n"/>
      <c r="D21" s="49" t="n"/>
      <c r="E21" s="48" t="n"/>
      <c r="H21" s="49" t="n"/>
      <c r="I21" s="48" t="n"/>
      <c r="L21" s="49" t="n"/>
    </row>
    <row r="22" ht="22" customHeight="1">
      <c r="A22" s="48" t="n"/>
      <c r="D22" s="49" t="n"/>
      <c r="E22" s="48" t="n"/>
      <c r="H22" s="49" t="n"/>
      <c r="I22" s="48" t="n"/>
      <c r="L22" s="49" t="n"/>
    </row>
    <row r="23" ht="22" customHeight="1">
      <c r="A23" s="48" t="n"/>
      <c r="D23" s="49" t="n"/>
      <c r="E23" s="48" t="n"/>
      <c r="H23" s="49" t="n"/>
      <c r="I23" s="48" t="n"/>
      <c r="L23" s="49" t="n"/>
    </row>
    <row r="24" ht="22" customHeight="1">
      <c r="A24" s="45" t="n"/>
      <c r="B24" s="46" t="n"/>
      <c r="C24" s="46" t="n"/>
      <c r="D24" s="47" t="n"/>
      <c r="E24" s="45" t="n"/>
      <c r="F24" s="46" t="n"/>
      <c r="G24" s="46" t="n"/>
      <c r="H24" s="47" t="n"/>
      <c r="I24" s="45" t="n"/>
      <c r="J24" s="46" t="n"/>
      <c r="K24" s="46" t="n"/>
      <c r="L24" s="47" t="n"/>
    </row>
    <row r="25" ht="22" customHeight="1">
      <c r="A25" s="34" t="inlineStr">
        <is>
          <t>6. 항목별 점수 요약</t>
        </is>
      </c>
      <c r="B25" s="41" t="n"/>
      <c r="C25" s="41" t="n"/>
      <c r="D25" s="41" t="n"/>
      <c r="E25" s="41" t="n"/>
      <c r="F25" s="41" t="n"/>
      <c r="G25" s="41" t="n"/>
      <c r="H25" s="42" t="n"/>
      <c r="I25" s="34" t="inlineStr">
        <is>
          <t>7. 심의 및 후속조치</t>
        </is>
      </c>
      <c r="J25" s="41" t="n"/>
      <c r="K25" s="41" t="n"/>
      <c r="L25" s="42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J26" s="42" t="n"/>
      <c r="K26" s="40" t="inlineStr">
        <is>
          <t>후속 일정</t>
        </is>
      </c>
      <c r="L26" s="42" t="n"/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J27" s="44" t="n"/>
      <c r="K27" s="39" t="inlineStr">
        <is>
          <t>실사 / IC / 계약 / 집행 일정</t>
        </is>
      </c>
      <c r="L27" s="44" t="n"/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E28" s="33" t="n"/>
      <c r="F28" s="33" t="n"/>
      <c r="G28" s="33" t="n"/>
      <c r="H28" s="33" t="n"/>
      <c r="I28" s="48" t="n"/>
      <c r="J28" s="49" t="n"/>
      <c r="K28" s="48" t="n"/>
      <c r="L28" s="49" t="n"/>
    </row>
    <row r="29" ht="22" customHeight="1">
      <c r="A29" s="31">
        <f>'Semiconductor_Extended'!A18</f>
        <v/>
      </c>
      <c r="B29" s="32">
        <f>'Semiconductor_Extended'!C18</f>
        <v/>
      </c>
      <c r="C29" s="32">
        <f>'Semiconductor_Extended'!D18</f>
        <v/>
      </c>
      <c r="D29" s="32">
        <f>'Semiconductor_Extended'!E18</f>
        <v/>
      </c>
      <c r="E29" s="33" t="n"/>
      <c r="F29" s="33" t="n"/>
      <c r="G29" s="33" t="n"/>
      <c r="H29" s="33" t="n"/>
      <c r="I29" s="45" t="n"/>
      <c r="J29" s="47" t="n"/>
      <c r="K29" s="45" t="n"/>
      <c r="L29" s="47" t="n"/>
    </row>
    <row r="30" ht="22" customHeight="1">
      <c r="A30" s="31">
        <f>'Semiconductor_Extended'!A19</f>
        <v/>
      </c>
      <c r="B30" s="32">
        <f>'Semiconductor_Extended'!C19</f>
        <v/>
      </c>
      <c r="C30" s="32">
        <f>'Semiconductor_Extended'!D19</f>
        <v/>
      </c>
      <c r="D30" s="32">
        <f>'Semiconductor_Extended'!E19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  <c r="J30" s="41" t="n"/>
      <c r="K30" s="41" t="n"/>
      <c r="L30" s="42" t="n"/>
    </row>
    <row r="31" ht="22" customHeight="1">
      <c r="A31" s="31">
        <f>'Semiconductor_Extended'!A20</f>
        <v/>
      </c>
      <c r="B31" s="32">
        <f>'Semiconductor_Extended'!C20</f>
        <v/>
      </c>
      <c r="C31" s="32">
        <f>'Semiconductor_Extended'!D20</f>
        <v/>
      </c>
      <c r="D31" s="32">
        <f>'Semiconductor_Extended'!E20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  <c r="J31" s="43" t="n"/>
      <c r="K31" s="43" t="n"/>
      <c r="L31" s="44" t="n"/>
    </row>
    <row r="32" ht="22" customHeight="1">
      <c r="A32" s="31">
        <f>'Semiconductor_Extended'!A21</f>
        <v/>
      </c>
      <c r="B32" s="32">
        <f>'Semiconductor_Extended'!C21</f>
        <v/>
      </c>
      <c r="C32" s="32">
        <f>'Semiconductor_Extended'!D21</f>
        <v/>
      </c>
      <c r="D32" s="32">
        <f>'Semiconductor_Extended'!E21</f>
        <v/>
      </c>
      <c r="E32" s="33" t="n"/>
      <c r="F32" s="33" t="n"/>
      <c r="G32" s="33" t="n"/>
      <c r="H32" s="33" t="n"/>
      <c r="I32" s="48" t="n"/>
      <c r="L32" s="49" t="n"/>
    </row>
    <row r="33" ht="22" customHeight="1">
      <c r="A33" s="31">
        <f>'Semiconductor_Extended'!A22</f>
        <v/>
      </c>
      <c r="B33" s="32">
        <f>'Semiconductor_Extended'!C22</f>
        <v/>
      </c>
      <c r="C33" s="32">
        <f>'Semiconductor_Extended'!D22</f>
        <v/>
      </c>
      <c r="D33" s="32">
        <f>'Semiconductor_Extended'!E22</f>
        <v/>
      </c>
      <c r="E33" s="33" t="n"/>
      <c r="F33" s="33" t="n"/>
      <c r="G33" s="33" t="n"/>
      <c r="H33" s="33" t="n"/>
      <c r="I33" s="48" t="n"/>
      <c r="L33" s="49" t="n"/>
    </row>
    <row r="34" ht="22" customHeight="1">
      <c r="A34" s="31">
        <f>'Semiconductor_Extended'!A23</f>
        <v/>
      </c>
      <c r="B34" s="32">
        <f>'Semiconductor_Extended'!C23</f>
        <v/>
      </c>
      <c r="C34" s="32">
        <f>'Semiconductor_Extended'!D23</f>
        <v/>
      </c>
      <c r="D34" s="32">
        <f>'Semiconductor_Extended'!E23</f>
        <v/>
      </c>
      <c r="E34" s="33" t="n"/>
      <c r="F34" s="33" t="n"/>
      <c r="G34" s="33" t="n"/>
      <c r="H34" s="33" t="n"/>
      <c r="I34" s="45" t="n"/>
      <c r="J34" s="46" t="n"/>
      <c r="K34" s="46" t="n"/>
      <c r="L34" s="47" t="n"/>
    </row>
    <row r="35" ht="22" customHeight="1">
      <c r="A35" s="34" t="inlineStr">
        <is>
          <t>8. 승인 및 제출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2" t="n"/>
    </row>
    <row r="36" ht="22" customHeight="1">
      <c r="A36" s="23" t="inlineStr">
        <is>
          <t>작성</t>
        </is>
      </c>
      <c r="B36" s="35" t="inlineStr">
        <is>
          <t>심사팀</t>
        </is>
      </c>
      <c r="C36" s="42" t="n"/>
      <c r="D36" s="23" t="inlineStr">
        <is>
          <t>검토</t>
        </is>
      </c>
      <c r="E36" s="35" t="inlineStr">
        <is>
          <t>투자본부장</t>
        </is>
      </c>
      <c r="F36" s="42" t="n"/>
      <c r="G36" s="23" t="inlineStr">
        <is>
          <t>승인</t>
        </is>
      </c>
      <c r="H36" s="35" t="inlineStr">
        <is>
          <t>대표/파트너</t>
        </is>
      </c>
      <c r="I36" s="42" t="n"/>
      <c r="J36" s="23" t="inlineStr">
        <is>
          <t>제출일</t>
        </is>
      </c>
      <c r="K36" s="35" t="inlineStr">
        <is>
          <t>YYYY-MM-DD</t>
        </is>
      </c>
      <c r="L36" s="42" t="n"/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'Semiconductor_Extended'!A29</f>
        <v/>
      </c>
      <c r="B41" s="32">
        <f>'Semiconductor_Extended'!C29</f>
        <v/>
      </c>
      <c r="C41" s="32">
        <f>'Semiconductor_Extended'!D29</f>
        <v/>
      </c>
      <c r="D41" s="32">
        <f>'Semiconductor_Extended'!E29</f>
        <v/>
      </c>
    </row>
    <row r="42" hidden="1">
      <c r="A42" s="31">
        <f>'Semiconductor_Extended'!A30</f>
        <v/>
      </c>
      <c r="B42" s="32">
        <f>'Semiconductor_Extended'!C30</f>
        <v/>
      </c>
      <c r="C42" s="32">
        <f>'Semiconductor_Extended'!D30</f>
        <v/>
      </c>
      <c r="D42" s="32">
        <f>'Semiconductor_Extended'!E30</f>
        <v/>
      </c>
    </row>
    <row r="43" hidden="1">
      <c r="A43" s="31">
        <f>'Semiconductor_Extended'!A31</f>
        <v/>
      </c>
      <c r="B43" s="32">
        <f>'Semiconductor_Extended'!C31</f>
        <v/>
      </c>
      <c r="C43" s="32">
        <f>'Semiconductor_Extended'!D31</f>
        <v/>
      </c>
      <c r="D43" s="32">
        <f>'Semiconductor_Extended'!E31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26:J26"/>
    <mergeCell ref="I20:L24"/>
    <mergeCell ref="I19:L19"/>
    <mergeCell ref="D16:F16"/>
    <mergeCell ref="K26:L26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22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TIPS-SEMI-2026-001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TIPS 검토회의</t>
        </is>
      </c>
      <c r="I9" s="23" t="inlineStr">
        <is>
          <t>업종</t>
        </is>
      </c>
      <c r="J9" s="35" t="inlineStr">
        <is>
          <t>Semiconductor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Semiconductor TIPS 심사용 요약서</t>
        </is>
      </c>
    </row>
    <row r="11" ht="22" customHeight="1">
      <c r="A11" s="34" t="inlineStr">
        <is>
          <t>1. 기본정보</t>
        </is>
      </c>
    </row>
    <row r="12" ht="22" customHeight="1">
      <c r="A12" s="23" t="inlineStr">
        <is>
          <t>기업명</t>
        </is>
      </c>
      <c r="B12" s="35">
        <f>'Semiconductor_Extended'!B4</f>
        <v/>
      </c>
      <c r="D12" s="23" t="inlineStr">
        <is>
          <t>대표자</t>
        </is>
      </c>
      <c r="E12" s="35">
        <f>'Semiconductor_Extended'!B5</f>
        <v/>
      </c>
      <c r="G12" s="23" t="inlineStr">
        <is>
          <t>검토일</t>
        </is>
      </c>
      <c r="H12" s="35">
        <f>'Semiconductor_Extended'!B6</f>
        <v/>
      </c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'Semiconductor_Extended'!B7</f>
        <v/>
      </c>
      <c r="D13" s="23" t="inlineStr">
        <is>
          <t>기술 분야</t>
        </is>
      </c>
      <c r="E13" s="35">
        <f>'Semiconductor_Extended'!B8</f>
        <v/>
      </c>
      <c r="G13" s="23" t="inlineStr">
        <is>
          <t>단계</t>
        </is>
      </c>
      <c r="H13" s="35">
        <f>'Semiconductor_Extended'!B9</f>
        <v/>
      </c>
    </row>
    <row r="14" ht="22" customHeight="1">
      <c r="A14" s="23" t="inlineStr">
        <is>
          <t>검토 목적</t>
        </is>
      </c>
      <c r="B14" s="35">
        <f>'Semiconductor_Extended'!B10</f>
        <v/>
      </c>
      <c r="D14" s="23" t="inlineStr">
        <is>
          <t>총점</t>
        </is>
      </c>
      <c r="E14" s="35">
        <f>'Semiconductor_Extended'!F4</f>
        <v/>
      </c>
      <c r="G14" s="23" t="inlineStr">
        <is>
          <t>권고안</t>
        </is>
      </c>
      <c r="H14" s="35">
        <f>'Semiconductor_Extended'!F5</f>
        <v/>
      </c>
    </row>
    <row r="15" ht="22" customHeight="1">
      <c r="A15" s="34" t="inlineStr">
        <is>
          <t>2. TIPS 핵심 지표</t>
        </is>
      </c>
    </row>
    <row r="16" ht="22" customHeight="1">
      <c r="A16" s="25" t="inlineStr">
        <is>
          <t>총점</t>
        </is>
      </c>
      <c r="D16" s="25" t="inlineStr">
        <is>
          <t>TIPS 평균점수</t>
        </is>
      </c>
      <c r="G16" s="25" t="inlineStr">
        <is>
          <t>TIPS 실행 준비도</t>
        </is>
      </c>
      <c r="J16" s="25" t="inlineStr">
        <is>
          <t>1차 권고안</t>
        </is>
      </c>
    </row>
    <row r="17" ht="22" customHeight="1">
      <c r="A17" s="37">
        <f>'Semiconductor_Extended'!F4</f>
        <v/>
      </c>
      <c r="D17" s="37">
        <f>'Semiconductor_Extended'!F6</f>
        <v/>
      </c>
      <c r="G17" s="37">
        <f>ROUND(AVERAGE('Semiconductor_Extended'!D29,'Semiconductor_Extended'!D30),1)</f>
        <v/>
      </c>
      <c r="J17" s="37">
        <f>IF(F17&gt;=4.0,"즉시 추천 검토",IF(F17&gt;=3.5,"보완 후 추천","추가 준비 필요"))</f>
        <v/>
      </c>
    </row>
    <row r="18" ht="22" customHeight="1"/>
    <row r="19" ht="22" customHeight="1">
      <c r="A19" s="38" t="inlineStr">
        <is>
          <t>3. TIPS 추천 포인트</t>
        </is>
      </c>
      <c r="E19" s="38" t="inlineStr">
        <is>
          <t>4. 보완 필요사항</t>
        </is>
      </c>
      <c r="I19" s="38" t="inlineStr">
        <is>
          <t>5. 추천 액션 포인트</t>
        </is>
      </c>
    </row>
    <row r="20" ht="22" customHeight="1">
      <c r="A20" s="39" t="inlineStr">
        <is>
          <t>• 기술 차별성
• 민간투자 적합성
• 사업화 가능성</t>
        </is>
      </c>
      <c r="E20" s="39" t="inlineStr">
        <is>
          <t>• 기술 검증 데이터 추가
• 시장/고객 근거 보강
• 사업계획 정밀화</t>
        </is>
      </c>
      <c r="I20" s="39" t="inlineStr">
        <is>
          <t>• 즉시 추천
• 조건부 추천
• 3개월 내 보완
• 추가 검증 후 재심</t>
        </is>
      </c>
    </row>
    <row r="21" ht="22" customHeight="1"/>
    <row r="22" ht="22" customHeight="1"/>
    <row r="23" ht="22" customHeight="1"/>
    <row r="24" ht="22" customHeight="1"/>
    <row r="25" ht="22" customHeight="1">
      <c r="A25" s="34" t="inlineStr">
        <is>
          <t>6. TIPS 관련 점수 요약</t>
        </is>
      </c>
      <c r="I25" s="34" t="inlineStr">
        <is>
          <t>7. 추천 및 후속조치</t>
        </is>
      </c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추천 판단</t>
        </is>
      </c>
      <c r="K26" s="40" t="inlineStr">
        <is>
          <t>후속 일정</t>
        </is>
      </c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E27" s="33" t="n"/>
      <c r="F27" s="33" t="n"/>
      <c r="G27" s="33" t="n"/>
      <c r="H27" s="33" t="n"/>
      <c r="I27" s="39" t="inlineStr">
        <is>
          <t>일반트랙 / 딥테크트랙 / 보완 후 재검토</t>
        </is>
      </c>
      <c r="K27" s="39" t="inlineStr">
        <is>
          <t>자료보완 / 내부심사 / 추천 / 제출 일정</t>
        </is>
      </c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E28" s="33" t="n"/>
      <c r="F28" s="33" t="n"/>
      <c r="G28" s="33" t="n"/>
      <c r="H28" s="33" t="n"/>
    </row>
    <row r="29" ht="22" customHeight="1">
      <c r="A29" s="31">
        <f>'Semiconductor_Extended'!A24</f>
        <v/>
      </c>
      <c r="B29" s="32">
        <f>'Semiconductor_Extended'!C24</f>
        <v/>
      </c>
      <c r="C29" s="32">
        <f>'Semiconductor_Extended'!D24</f>
        <v/>
      </c>
      <c r="D29" s="32">
        <f>'Semiconductor_Extended'!E24</f>
        <v/>
      </c>
      <c r="E29" s="33" t="n"/>
      <c r="F29" s="33" t="n"/>
      <c r="G29" s="33" t="n"/>
      <c r="H29" s="33" t="n"/>
    </row>
    <row r="30" ht="22" customHeight="1">
      <c r="A30" s="31">
        <f>'Semiconductor_Extended'!A27</f>
        <v/>
      </c>
      <c r="B30" s="32">
        <f>'Semiconductor_Extended'!C27</f>
        <v/>
      </c>
      <c r="C30" s="32">
        <f>'Semiconductor_Extended'!D27</f>
        <v/>
      </c>
      <c r="D30" s="32">
        <f>'Semiconductor_Extended'!E27</f>
        <v/>
      </c>
      <c r="E30" s="33" t="n"/>
      <c r="F30" s="33" t="n"/>
      <c r="G30" s="33" t="n"/>
      <c r="H30" s="33" t="n"/>
      <c r="I30" s="40" t="inlineStr">
        <is>
          <t>검토 메모</t>
        </is>
      </c>
    </row>
    <row r="31" ht="22" customHeight="1">
      <c r="A31" s="31">
        <f>'Semiconductor_Extended'!A28</f>
        <v/>
      </c>
      <c r="B31" s="32">
        <f>'Semiconductor_Extended'!C28</f>
        <v/>
      </c>
      <c r="C31" s="32">
        <f>'Semiconductor_Extended'!D28</f>
        <v/>
      </c>
      <c r="D31" s="32">
        <f>'Semiconductor_Extended'!E28</f>
        <v/>
      </c>
      <c r="E31" s="33" t="n"/>
      <c r="F31" s="33" t="n"/>
      <c r="G31" s="33" t="n"/>
      <c r="H31" s="33" t="n"/>
      <c r="I31" s="39" t="inlineStr">
        <is>
          <t>TIPS 발표자료 및 사업계획서 관련 코멘트 입력</t>
        </is>
      </c>
    </row>
    <row r="32" ht="22" customHeight="1">
      <c r="A32" s="31">
        <f>'Semiconductor_Extended'!A29</f>
        <v/>
      </c>
      <c r="B32" s="32">
        <f>'Semiconductor_Extended'!C29</f>
        <v/>
      </c>
      <c r="C32" s="32">
        <f>'Semiconductor_Extended'!D29</f>
        <v/>
      </c>
      <c r="D32" s="32">
        <f>'Semiconductor_Extended'!E29</f>
        <v/>
      </c>
      <c r="E32" s="33" t="n"/>
      <c r="F32" s="33" t="n"/>
      <c r="G32" s="33" t="n"/>
      <c r="H32" s="33" t="n"/>
    </row>
    <row r="33" ht="22" customHeight="1">
      <c r="A33" s="31">
        <f>'Semiconductor_Extended'!A30</f>
        <v/>
      </c>
      <c r="B33" s="32">
        <f>'Semiconductor_Extended'!C30</f>
        <v/>
      </c>
      <c r="C33" s="32">
        <f>'Semiconductor_Extended'!D30</f>
        <v/>
      </c>
      <c r="D33" s="32">
        <f>'Semiconductor_Extended'!E30</f>
        <v/>
      </c>
      <c r="E33" s="33" t="n"/>
      <c r="F33" s="33" t="n"/>
      <c r="G33" s="33" t="n"/>
      <c r="H33" s="33" t="n"/>
    </row>
    <row r="34" ht="22" customHeight="1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2" customHeight="1">
      <c r="A35" s="34" t="inlineStr">
        <is>
          <t>8. 승인 및 제출</t>
        </is>
      </c>
    </row>
    <row r="36" ht="22" customHeight="1">
      <c r="A36" s="23" t="inlineStr">
        <is>
          <t>작성</t>
        </is>
      </c>
      <c r="B36" s="35" t="inlineStr">
        <is>
          <t>심사팀</t>
        </is>
      </c>
      <c r="D36" s="23" t="inlineStr">
        <is>
          <t>검토</t>
        </is>
      </c>
      <c r="E36" s="35" t="inlineStr">
        <is>
          <t>투자본부장</t>
        </is>
      </c>
      <c r="G36" s="23" t="inlineStr">
        <is>
          <t>승인</t>
        </is>
      </c>
      <c r="H36" s="35" t="inlineStr">
        <is>
          <t>대표/파트너</t>
        </is>
      </c>
      <c r="J36" s="23" t="inlineStr">
        <is>
          <t>제출일</t>
        </is>
      </c>
      <c r="K36" s="35" t="inlineStr">
        <is>
          <t>YYYY-MM-DD</t>
        </is>
      </c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19:L19"/>
    <mergeCell ref="D16:F16"/>
    <mergeCell ref="I20:L24"/>
    <mergeCell ref="I26:J26"/>
    <mergeCell ref="B12:C12"/>
    <mergeCell ref="K26:L26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E19:H19"/>
    <mergeCell ref="I25:L25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모빌리티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7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9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 전략 적합성</t>
        </is>
      </c>
      <c r="C26" s="11" t="n">
        <v>5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전환 가능성</t>
        </is>
      </c>
      <c r="C27" s="11" t="n">
        <v>4</v>
      </c>
      <c r="D27" s="12" t="inlineStr"/>
      <c r="E27" s="13">
        <f>IF(D27="",0,D27/5*C27)</f>
        <v/>
      </c>
      <c r="F27" s="10" t="inlineStr"/>
    </row>
    <row r="28">
      <c r="A28" s="9" t="inlineStr">
        <is>
          <t>정책연계</t>
        </is>
      </c>
      <c r="B28" s="10" t="inlineStr">
        <is>
          <t>TIPS 적합성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실행 준비도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운영성</t>
        </is>
      </c>
      <c r="B30" s="10" t="inlineStr">
        <is>
          <t>설치/운영/유지보수 가능성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6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2" t="n"/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IC-MOBI-2026-001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Mobility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Mobility 투자심사 IC 요약서</t>
        </is>
      </c>
    </row>
    <row r="11" ht="22" customHeight="1">
      <c r="A11" s="34" t="inlineStr">
        <is>
          <t>1. 기본정보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2" t="n"/>
    </row>
    <row r="12" ht="22" customHeight="1">
      <c r="A12" s="23" t="inlineStr">
        <is>
          <t>기업명</t>
        </is>
      </c>
      <c r="B12" s="35">
        <f>'Mobility_Extended'!B4</f>
        <v/>
      </c>
      <c r="C12" s="42" t="n"/>
      <c r="D12" s="23" t="inlineStr">
        <is>
          <t>대표자</t>
        </is>
      </c>
      <c r="E12" s="35">
        <f>'Mobility_Extended'!B5</f>
        <v/>
      </c>
      <c r="F12" s="42" t="n"/>
      <c r="G12" s="23" t="inlineStr">
        <is>
          <t>검토일</t>
        </is>
      </c>
      <c r="H12" s="35">
        <f>'Mobility_Extended'!B6</f>
        <v/>
      </c>
      <c r="I12" s="42" t="n"/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'Mobility_Extended'!B7</f>
        <v/>
      </c>
      <c r="C13" s="42" t="n"/>
      <c r="D13" s="23" t="inlineStr">
        <is>
          <t>기술 분야</t>
        </is>
      </c>
      <c r="E13" s="35">
        <f>'Mobility_Extended'!B8</f>
        <v/>
      </c>
      <c r="F13" s="42" t="n"/>
      <c r="G13" s="23" t="inlineStr">
        <is>
          <t>단계</t>
        </is>
      </c>
      <c r="H13" s="35">
        <f>'Mobility_Extended'!B9</f>
        <v/>
      </c>
      <c r="I13" s="41" t="n"/>
      <c r="J13" s="41" t="n"/>
      <c r="K13" s="41" t="n"/>
      <c r="L13" s="42" t="n"/>
    </row>
    <row r="14" ht="22" customHeight="1">
      <c r="A14" s="23" t="inlineStr">
        <is>
          <t>검토 목적</t>
        </is>
      </c>
      <c r="B14" s="35">
        <f>'Mobility_Extended'!B10</f>
        <v/>
      </c>
      <c r="C14" s="42" t="n"/>
      <c r="D14" s="23" t="inlineStr">
        <is>
          <t>총점</t>
        </is>
      </c>
      <c r="E14" s="35">
        <f>'Mobility_Extended'!F4</f>
        <v/>
      </c>
      <c r="F14" s="42" t="n"/>
      <c r="G14" s="23" t="inlineStr">
        <is>
          <t>권고안</t>
        </is>
      </c>
      <c r="H14" s="35">
        <f>'Mobility_Extended'!F5</f>
        <v/>
      </c>
      <c r="I14" s="41" t="n"/>
      <c r="J14" s="41" t="n"/>
      <c r="K14" s="41" t="n"/>
      <c r="L14" s="42" t="n"/>
    </row>
    <row r="15" ht="22" customHeight="1">
      <c r="A15" s="34" t="inlineStr">
        <is>
          <t>2. 핵심 지표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2" t="n"/>
    </row>
    <row r="16" ht="22" customHeight="1">
      <c r="A16" s="25" t="inlineStr">
        <is>
          <t>총점</t>
        </is>
      </c>
      <c r="B16" s="41" t="n"/>
      <c r="C16" s="42" t="n"/>
      <c r="D16" s="25" t="inlineStr">
        <is>
          <t>권고안</t>
        </is>
      </c>
      <c r="E16" s="41" t="n"/>
      <c r="F16" s="42" t="n"/>
      <c r="G16" s="25" t="inlineStr">
        <is>
          <t>TIPS 평균점수</t>
        </is>
      </c>
      <c r="H16" s="41" t="n"/>
      <c r="I16" s="42" t="n"/>
      <c r="J16" s="25" t="inlineStr">
        <is>
          <t>CVC 평균점수</t>
        </is>
      </c>
      <c r="K16" s="41" t="n"/>
      <c r="L16" s="42" t="n"/>
    </row>
    <row r="17" ht="22" customHeight="1">
      <c r="A17" s="37">
        <f>'Mobility_Extended'!F4</f>
        <v/>
      </c>
      <c r="B17" s="43" t="n"/>
      <c r="C17" s="44" t="n"/>
      <c r="D17" s="37">
        <f>'Mobility_Extended'!F5</f>
        <v/>
      </c>
      <c r="E17" s="43" t="n"/>
      <c r="F17" s="44" t="n"/>
      <c r="G17" s="37">
        <f>'Mobility_Extended'!F6</f>
        <v/>
      </c>
      <c r="H17" s="43" t="n"/>
      <c r="I17" s="44" t="n"/>
      <c r="J17" s="37">
        <f>'Mobility_Extended'!F7</f>
        <v/>
      </c>
      <c r="K17" s="43" t="n"/>
      <c r="L17" s="44" t="n"/>
    </row>
    <row r="18" ht="22" customHeight="1">
      <c r="A18" s="45" t="n"/>
      <c r="B18" s="46" t="n"/>
      <c r="C18" s="47" t="n"/>
      <c r="D18" s="45" t="n"/>
      <c r="E18" s="46" t="n"/>
      <c r="F18" s="47" t="n"/>
      <c r="G18" s="45" t="n"/>
      <c r="H18" s="46" t="n"/>
      <c r="I18" s="47" t="n"/>
      <c r="J18" s="45" t="n"/>
      <c r="K18" s="46" t="n"/>
      <c r="L18" s="47" t="n"/>
    </row>
    <row r="19" ht="22" customHeight="1">
      <c r="A19" s="38" t="inlineStr">
        <is>
          <t>3. 상위 강점</t>
        </is>
      </c>
      <c r="B19" s="41" t="n"/>
      <c r="C19" s="41" t="n"/>
      <c r="D19" s="42" t="n"/>
      <c r="E19" s="38" t="inlineStr">
        <is>
          <t>4. 핵심 리스크</t>
        </is>
      </c>
      <c r="F19" s="41" t="n"/>
      <c r="G19" s="41" t="n"/>
      <c r="H19" s="42" t="n"/>
      <c r="I19" s="38" t="inlineStr">
        <is>
          <t>5. IC 액션 포인트</t>
        </is>
      </c>
      <c r="J19" s="41" t="n"/>
      <c r="K19" s="41" t="n"/>
      <c r="L19" s="42" t="n"/>
    </row>
    <row r="20" ht="22" customHeight="1">
      <c r="A20" s="39" t="inlineStr">
        <is>
          <t>• 핵심기술 차별성
• 사업화 경로 명확성
• 팀 실행력</t>
        </is>
      </c>
      <c r="B20" s="43" t="n"/>
      <c r="C20" s="43" t="n"/>
      <c r="D20" s="44" t="n"/>
      <c r="E20" s="39" t="inlineStr">
        <is>
          <t>• 기술/성능 불확실성
• 양산/실증 지연
• 규제/고객 도입 리스크</t>
        </is>
      </c>
      <c r="F20" s="43" t="n"/>
      <c r="G20" s="43" t="n"/>
      <c r="H20" s="44" t="n"/>
      <c r="I20" s="39" t="inlineStr">
        <is>
          <t>• 즉시 투자
• 조건부 투자
• PoC 우선
• 보육 우선</t>
        </is>
      </c>
      <c r="J20" s="43" t="n"/>
      <c r="K20" s="43" t="n"/>
      <c r="L20" s="44" t="n"/>
    </row>
    <row r="21" ht="22" customHeight="1">
      <c r="A21" s="48" t="n"/>
      <c r="D21" s="49" t="n"/>
      <c r="E21" s="48" t="n"/>
      <c r="H21" s="49" t="n"/>
      <c r="I21" s="48" t="n"/>
      <c r="L21" s="49" t="n"/>
    </row>
    <row r="22" ht="22" customHeight="1">
      <c r="A22" s="48" t="n"/>
      <c r="D22" s="49" t="n"/>
      <c r="E22" s="48" t="n"/>
      <c r="H22" s="49" t="n"/>
      <c r="I22" s="48" t="n"/>
      <c r="L22" s="49" t="n"/>
    </row>
    <row r="23" ht="22" customHeight="1">
      <c r="A23" s="48" t="n"/>
      <c r="D23" s="49" t="n"/>
      <c r="E23" s="48" t="n"/>
      <c r="H23" s="49" t="n"/>
      <c r="I23" s="48" t="n"/>
      <c r="L23" s="49" t="n"/>
    </row>
    <row r="24" ht="22" customHeight="1">
      <c r="A24" s="45" t="n"/>
      <c r="B24" s="46" t="n"/>
      <c r="C24" s="46" t="n"/>
      <c r="D24" s="47" t="n"/>
      <c r="E24" s="45" t="n"/>
      <c r="F24" s="46" t="n"/>
      <c r="G24" s="46" t="n"/>
      <c r="H24" s="47" t="n"/>
      <c r="I24" s="45" t="n"/>
      <c r="J24" s="46" t="n"/>
      <c r="K24" s="46" t="n"/>
      <c r="L24" s="47" t="n"/>
    </row>
    <row r="25" ht="22" customHeight="1">
      <c r="A25" s="34" t="inlineStr">
        <is>
          <t>6. 항목별 점수 요약</t>
        </is>
      </c>
      <c r="B25" s="41" t="n"/>
      <c r="C25" s="41" t="n"/>
      <c r="D25" s="41" t="n"/>
      <c r="E25" s="41" t="n"/>
      <c r="F25" s="41" t="n"/>
      <c r="G25" s="41" t="n"/>
      <c r="H25" s="42" t="n"/>
      <c r="I25" s="34" t="inlineStr">
        <is>
          <t>7. 심의 및 후속조치</t>
        </is>
      </c>
      <c r="J25" s="41" t="n"/>
      <c r="K25" s="41" t="n"/>
      <c r="L25" s="42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J26" s="42" t="n"/>
      <c r="K26" s="40" t="inlineStr">
        <is>
          <t>후속 일정</t>
        </is>
      </c>
      <c r="L26" s="42" t="n"/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J27" s="44" t="n"/>
      <c r="K27" s="39" t="inlineStr">
        <is>
          <t>실사 / IC / 계약 / 집행 일정</t>
        </is>
      </c>
      <c r="L27" s="44" t="n"/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E28" s="33" t="n"/>
      <c r="F28" s="33" t="n"/>
      <c r="G28" s="33" t="n"/>
      <c r="H28" s="33" t="n"/>
      <c r="I28" s="48" t="n"/>
      <c r="J28" s="49" t="n"/>
      <c r="K28" s="48" t="n"/>
      <c r="L28" s="49" t="n"/>
    </row>
    <row r="29" ht="22" customHeight="1">
      <c r="A29" s="31">
        <f>'Mobility_Extended'!A18</f>
        <v/>
      </c>
      <c r="B29" s="32">
        <f>'Mobility_Extended'!C18</f>
        <v/>
      </c>
      <c r="C29" s="32">
        <f>'Mobility_Extended'!D18</f>
        <v/>
      </c>
      <c r="D29" s="32">
        <f>'Mobility_Extended'!E18</f>
        <v/>
      </c>
      <c r="E29" s="33" t="n"/>
      <c r="F29" s="33" t="n"/>
      <c r="G29" s="33" t="n"/>
      <c r="H29" s="33" t="n"/>
      <c r="I29" s="45" t="n"/>
      <c r="J29" s="47" t="n"/>
      <c r="K29" s="45" t="n"/>
      <c r="L29" s="47" t="n"/>
    </row>
    <row r="30" ht="22" customHeight="1">
      <c r="A30" s="31">
        <f>'Mobility_Extended'!A19</f>
        <v/>
      </c>
      <c r="B30" s="32">
        <f>'Mobility_Extended'!C19</f>
        <v/>
      </c>
      <c r="C30" s="32">
        <f>'Mobility_Extended'!D19</f>
        <v/>
      </c>
      <c r="D30" s="32">
        <f>'Mobility_Extended'!E19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  <c r="J30" s="41" t="n"/>
      <c r="K30" s="41" t="n"/>
      <c r="L30" s="42" t="n"/>
    </row>
    <row r="31" ht="22" customHeight="1">
      <c r="A31" s="31">
        <f>'Mobility_Extended'!A20</f>
        <v/>
      </c>
      <c r="B31" s="32">
        <f>'Mobility_Extended'!C20</f>
        <v/>
      </c>
      <c r="C31" s="32">
        <f>'Mobility_Extended'!D20</f>
        <v/>
      </c>
      <c r="D31" s="32">
        <f>'Mobility_Extended'!E20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  <c r="J31" s="43" t="n"/>
      <c r="K31" s="43" t="n"/>
      <c r="L31" s="44" t="n"/>
    </row>
    <row r="32" ht="22" customHeight="1">
      <c r="A32" s="31">
        <f>'Mobility_Extended'!A21</f>
        <v/>
      </c>
      <c r="B32" s="32">
        <f>'Mobility_Extended'!C21</f>
        <v/>
      </c>
      <c r="C32" s="32">
        <f>'Mobility_Extended'!D21</f>
        <v/>
      </c>
      <c r="D32" s="32">
        <f>'Mobility_Extended'!E21</f>
        <v/>
      </c>
      <c r="E32" s="33" t="n"/>
      <c r="F32" s="33" t="n"/>
      <c r="G32" s="33" t="n"/>
      <c r="H32" s="33" t="n"/>
      <c r="I32" s="48" t="n"/>
      <c r="L32" s="49" t="n"/>
    </row>
    <row r="33" ht="22" customHeight="1">
      <c r="A33" s="31">
        <f>'Mobility_Extended'!A22</f>
        <v/>
      </c>
      <c r="B33" s="32">
        <f>'Mobility_Extended'!C22</f>
        <v/>
      </c>
      <c r="C33" s="32">
        <f>'Mobility_Extended'!D22</f>
        <v/>
      </c>
      <c r="D33" s="32">
        <f>'Mobility_Extended'!E22</f>
        <v/>
      </c>
      <c r="E33" s="33" t="n"/>
      <c r="F33" s="33" t="n"/>
      <c r="G33" s="33" t="n"/>
      <c r="H33" s="33" t="n"/>
      <c r="I33" s="48" t="n"/>
      <c r="L33" s="49" t="n"/>
    </row>
    <row r="34" ht="22" customHeight="1">
      <c r="A34" s="31">
        <f>'Mobility_Extended'!A23</f>
        <v/>
      </c>
      <c r="B34" s="32">
        <f>'Mobility_Extended'!C23</f>
        <v/>
      </c>
      <c r="C34" s="32">
        <f>'Mobility_Extended'!D23</f>
        <v/>
      </c>
      <c r="D34" s="32">
        <f>'Mobility_Extended'!E23</f>
        <v/>
      </c>
      <c r="E34" s="33" t="n"/>
      <c r="F34" s="33" t="n"/>
      <c r="G34" s="33" t="n"/>
      <c r="H34" s="33" t="n"/>
      <c r="I34" s="45" t="n"/>
      <c r="J34" s="46" t="n"/>
      <c r="K34" s="46" t="n"/>
      <c r="L34" s="47" t="n"/>
    </row>
    <row r="35" ht="22" customHeight="1">
      <c r="A35" s="34" t="inlineStr">
        <is>
          <t>8. 승인 및 제출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2" t="n"/>
    </row>
    <row r="36" ht="22" customHeight="1">
      <c r="A36" s="23" t="inlineStr">
        <is>
          <t>작성</t>
        </is>
      </c>
      <c r="B36" s="35" t="inlineStr">
        <is>
          <t>심사팀</t>
        </is>
      </c>
      <c r="C36" s="42" t="n"/>
      <c r="D36" s="23" t="inlineStr">
        <is>
          <t>검토</t>
        </is>
      </c>
      <c r="E36" s="35" t="inlineStr">
        <is>
          <t>투자본부장</t>
        </is>
      </c>
      <c r="F36" s="42" t="n"/>
      <c r="G36" s="23" t="inlineStr">
        <is>
          <t>승인</t>
        </is>
      </c>
      <c r="H36" s="35" t="inlineStr">
        <is>
          <t>대표/파트너</t>
        </is>
      </c>
      <c r="I36" s="42" t="n"/>
      <c r="J36" s="23" t="inlineStr">
        <is>
          <t>제출일</t>
        </is>
      </c>
      <c r="K36" s="35" t="inlineStr">
        <is>
          <t>YYYY-MM-DD</t>
        </is>
      </c>
      <c r="L36" s="42" t="n"/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'Mobility_Extended'!A29</f>
        <v/>
      </c>
      <c r="B41" s="32">
        <f>'Mobility_Extended'!C29</f>
        <v/>
      </c>
      <c r="C41" s="32">
        <f>'Mobility_Extended'!D29</f>
        <v/>
      </c>
      <c r="D41" s="32">
        <f>'Mobility_Extended'!E29</f>
        <v/>
      </c>
    </row>
    <row r="42" hidden="1">
      <c r="A42" s="31">
        <f>'Mobility_Extended'!A30</f>
        <v/>
      </c>
      <c r="B42" s="32">
        <f>'Mobility_Extended'!C30</f>
        <v/>
      </c>
      <c r="C42" s="32">
        <f>'Mobility_Extended'!D30</f>
        <v/>
      </c>
      <c r="D42" s="32">
        <f>'Mobility_Extended'!E30</f>
        <v/>
      </c>
    </row>
    <row r="43" hidden="1">
      <c r="A43" s="31">
        <f>'Mobility_Extended'!A31</f>
        <v/>
      </c>
      <c r="B43" s="32">
        <f>'Mobility_Extended'!C31</f>
        <v/>
      </c>
      <c r="C43" s="32">
        <f>'Mobility_Extended'!D31</f>
        <v/>
      </c>
      <c r="D43" s="32">
        <f>'Mobility_Extended'!E31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26:J26"/>
    <mergeCell ref="I20:L24"/>
    <mergeCell ref="I19:L19"/>
    <mergeCell ref="D16:F16"/>
    <mergeCell ref="K26:L26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22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TIPS-MOBI-2026-001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TIPS 검토회의</t>
        </is>
      </c>
      <c r="I9" s="23" t="inlineStr">
        <is>
          <t>업종</t>
        </is>
      </c>
      <c r="J9" s="35" t="inlineStr">
        <is>
          <t>Mobility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Mobility TIPS 심사용 요약서</t>
        </is>
      </c>
    </row>
    <row r="11" ht="22" customHeight="1">
      <c r="A11" s="34" t="inlineStr">
        <is>
          <t>1. 기본정보</t>
        </is>
      </c>
    </row>
    <row r="12" ht="22" customHeight="1">
      <c r="A12" s="23" t="inlineStr">
        <is>
          <t>기업명</t>
        </is>
      </c>
      <c r="B12" s="35">
        <f>'Mobility_Extended'!B4</f>
        <v/>
      </c>
      <c r="D12" s="23" t="inlineStr">
        <is>
          <t>대표자</t>
        </is>
      </c>
      <c r="E12" s="35">
        <f>'Mobility_Extended'!B5</f>
        <v/>
      </c>
      <c r="G12" s="23" t="inlineStr">
        <is>
          <t>검토일</t>
        </is>
      </c>
      <c r="H12" s="35">
        <f>'Mobility_Extended'!B6</f>
        <v/>
      </c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'Mobility_Extended'!B7</f>
        <v/>
      </c>
      <c r="D13" s="23" t="inlineStr">
        <is>
          <t>기술 분야</t>
        </is>
      </c>
      <c r="E13" s="35">
        <f>'Mobility_Extended'!B8</f>
        <v/>
      </c>
      <c r="G13" s="23" t="inlineStr">
        <is>
          <t>단계</t>
        </is>
      </c>
      <c r="H13" s="35">
        <f>'Mobility_Extended'!B9</f>
        <v/>
      </c>
    </row>
    <row r="14" ht="22" customHeight="1">
      <c r="A14" s="23" t="inlineStr">
        <is>
          <t>검토 목적</t>
        </is>
      </c>
      <c r="B14" s="35">
        <f>'Mobility_Extended'!B10</f>
        <v/>
      </c>
      <c r="D14" s="23" t="inlineStr">
        <is>
          <t>총점</t>
        </is>
      </c>
      <c r="E14" s="35">
        <f>'Mobility_Extended'!F4</f>
        <v/>
      </c>
      <c r="G14" s="23" t="inlineStr">
        <is>
          <t>권고안</t>
        </is>
      </c>
      <c r="H14" s="35">
        <f>'Mobility_Extended'!F5</f>
        <v/>
      </c>
    </row>
    <row r="15" ht="22" customHeight="1">
      <c r="A15" s="34" t="inlineStr">
        <is>
          <t>2. TIPS 핵심 지표</t>
        </is>
      </c>
    </row>
    <row r="16" ht="22" customHeight="1">
      <c r="A16" s="25" t="inlineStr">
        <is>
          <t>총점</t>
        </is>
      </c>
      <c r="D16" s="25" t="inlineStr">
        <is>
          <t>TIPS 평균점수</t>
        </is>
      </c>
      <c r="G16" s="25" t="inlineStr">
        <is>
          <t>TIPS 실행 준비도</t>
        </is>
      </c>
      <c r="J16" s="25" t="inlineStr">
        <is>
          <t>1차 권고안</t>
        </is>
      </c>
    </row>
    <row r="17" ht="22" customHeight="1">
      <c r="A17" s="37">
        <f>'Mobility_Extended'!F4</f>
        <v/>
      </c>
      <c r="D17" s="37">
        <f>'Mobility_Extended'!F6</f>
        <v/>
      </c>
      <c r="G17" s="37">
        <f>ROUND(AVERAGE('Mobility_Extended'!D29,'Mobility_Extended'!D30),1)</f>
        <v/>
      </c>
      <c r="J17" s="37">
        <f>IF(F17&gt;=4.0,"즉시 추천 검토",IF(F17&gt;=3.5,"보완 후 추천","추가 준비 필요"))</f>
        <v/>
      </c>
    </row>
    <row r="18" ht="22" customHeight="1"/>
    <row r="19" ht="22" customHeight="1">
      <c r="A19" s="38" t="inlineStr">
        <is>
          <t>3. TIPS 추천 포인트</t>
        </is>
      </c>
      <c r="E19" s="38" t="inlineStr">
        <is>
          <t>4. 보완 필요사항</t>
        </is>
      </c>
      <c r="I19" s="38" t="inlineStr">
        <is>
          <t>5. 추천 액션 포인트</t>
        </is>
      </c>
    </row>
    <row r="20" ht="22" customHeight="1">
      <c r="A20" s="39" t="inlineStr">
        <is>
          <t>• 기술 차별성
• 민간투자 적합성
• 사업화 가능성</t>
        </is>
      </c>
      <c r="E20" s="39" t="inlineStr">
        <is>
          <t>• 기술 검증 데이터 추가
• 시장/고객 근거 보강
• 사업계획 정밀화</t>
        </is>
      </c>
      <c r="I20" s="39" t="inlineStr">
        <is>
          <t>• 즉시 추천
• 조건부 추천
• 3개월 내 보완
• 추가 검증 후 재심</t>
        </is>
      </c>
    </row>
    <row r="21" ht="22" customHeight="1"/>
    <row r="22" ht="22" customHeight="1"/>
    <row r="23" ht="22" customHeight="1"/>
    <row r="24" ht="22" customHeight="1"/>
    <row r="25" ht="22" customHeight="1">
      <c r="A25" s="34" t="inlineStr">
        <is>
          <t>6. TIPS 관련 점수 요약</t>
        </is>
      </c>
      <c r="I25" s="34" t="inlineStr">
        <is>
          <t>7. 추천 및 후속조치</t>
        </is>
      </c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추천 판단</t>
        </is>
      </c>
      <c r="K26" s="40" t="inlineStr">
        <is>
          <t>후속 일정</t>
        </is>
      </c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E27" s="33" t="n"/>
      <c r="F27" s="33" t="n"/>
      <c r="G27" s="33" t="n"/>
      <c r="H27" s="33" t="n"/>
      <c r="I27" s="39" t="inlineStr">
        <is>
          <t>일반트랙 / 딥테크트랙 / 보완 후 재검토</t>
        </is>
      </c>
      <c r="K27" s="39" t="inlineStr">
        <is>
          <t>자료보완 / 내부심사 / 추천 / 제출 일정</t>
        </is>
      </c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E28" s="33" t="n"/>
      <c r="F28" s="33" t="n"/>
      <c r="G28" s="33" t="n"/>
      <c r="H28" s="33" t="n"/>
    </row>
    <row r="29" ht="22" customHeight="1">
      <c r="A29" s="31">
        <f>'Mobility_Extended'!A24</f>
        <v/>
      </c>
      <c r="B29" s="32">
        <f>'Mobility_Extended'!C24</f>
        <v/>
      </c>
      <c r="C29" s="32">
        <f>'Mobility_Extended'!D24</f>
        <v/>
      </c>
      <c r="D29" s="32">
        <f>'Mobility_Extended'!E24</f>
        <v/>
      </c>
      <c r="E29" s="33" t="n"/>
      <c r="F29" s="33" t="n"/>
      <c r="G29" s="33" t="n"/>
      <c r="H29" s="33" t="n"/>
    </row>
    <row r="30" ht="22" customHeight="1">
      <c r="A30" s="31">
        <f>'Mobility_Extended'!A27</f>
        <v/>
      </c>
      <c r="B30" s="32">
        <f>'Mobility_Extended'!C27</f>
        <v/>
      </c>
      <c r="C30" s="32">
        <f>'Mobility_Extended'!D27</f>
        <v/>
      </c>
      <c r="D30" s="32">
        <f>'Mobility_Extended'!E27</f>
        <v/>
      </c>
      <c r="E30" s="33" t="n"/>
      <c r="F30" s="33" t="n"/>
      <c r="G30" s="33" t="n"/>
      <c r="H30" s="33" t="n"/>
      <c r="I30" s="40" t="inlineStr">
        <is>
          <t>검토 메모</t>
        </is>
      </c>
    </row>
    <row r="31" ht="22" customHeight="1">
      <c r="A31" s="31">
        <f>'Mobility_Extended'!A28</f>
        <v/>
      </c>
      <c r="B31" s="32">
        <f>'Mobility_Extended'!C28</f>
        <v/>
      </c>
      <c r="C31" s="32">
        <f>'Mobility_Extended'!D28</f>
        <v/>
      </c>
      <c r="D31" s="32">
        <f>'Mobility_Extended'!E28</f>
        <v/>
      </c>
      <c r="E31" s="33" t="n"/>
      <c r="F31" s="33" t="n"/>
      <c r="G31" s="33" t="n"/>
      <c r="H31" s="33" t="n"/>
      <c r="I31" s="39" t="inlineStr">
        <is>
          <t>TIPS 발표자료 및 사업계획서 관련 코멘트 입력</t>
        </is>
      </c>
    </row>
    <row r="32" ht="22" customHeight="1">
      <c r="A32" s="31">
        <f>'Mobility_Extended'!A29</f>
        <v/>
      </c>
      <c r="B32" s="32">
        <f>'Mobility_Extended'!C29</f>
        <v/>
      </c>
      <c r="C32" s="32">
        <f>'Mobility_Extended'!D29</f>
        <v/>
      </c>
      <c r="D32" s="32">
        <f>'Mobility_Extended'!E29</f>
        <v/>
      </c>
      <c r="E32" s="33" t="n"/>
      <c r="F32" s="33" t="n"/>
      <c r="G32" s="33" t="n"/>
      <c r="H32" s="33" t="n"/>
    </row>
    <row r="33" ht="22" customHeight="1">
      <c r="A33" s="31">
        <f>'Mobility_Extended'!A30</f>
        <v/>
      </c>
      <c r="B33" s="32">
        <f>'Mobility_Extended'!C30</f>
        <v/>
      </c>
      <c r="C33" s="32">
        <f>'Mobility_Extended'!D30</f>
        <v/>
      </c>
      <c r="D33" s="32">
        <f>'Mobility_Extended'!E30</f>
        <v/>
      </c>
      <c r="E33" s="33" t="n"/>
      <c r="F33" s="33" t="n"/>
      <c r="G33" s="33" t="n"/>
      <c r="H33" s="33" t="n"/>
    </row>
    <row r="34" ht="22" customHeight="1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2" customHeight="1">
      <c r="A35" s="34" t="inlineStr">
        <is>
          <t>8. 승인 및 제출</t>
        </is>
      </c>
    </row>
    <row r="36" ht="22" customHeight="1">
      <c r="A36" s="23" t="inlineStr">
        <is>
          <t>작성</t>
        </is>
      </c>
      <c r="B36" s="35" t="inlineStr">
        <is>
          <t>심사팀</t>
        </is>
      </c>
      <c r="D36" s="23" t="inlineStr">
        <is>
          <t>검토</t>
        </is>
      </c>
      <c r="E36" s="35" t="inlineStr">
        <is>
          <t>투자본부장</t>
        </is>
      </c>
      <c r="G36" s="23" t="inlineStr">
        <is>
          <t>승인</t>
        </is>
      </c>
      <c r="H36" s="35" t="inlineStr">
        <is>
          <t>대표/파트너</t>
        </is>
      </c>
      <c r="J36" s="23" t="inlineStr">
        <is>
          <t>제출일</t>
        </is>
      </c>
      <c r="K36" s="35" t="inlineStr">
        <is>
          <t>YYYY-MM-DD</t>
        </is>
      </c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19:L19"/>
    <mergeCell ref="D16:F16"/>
    <mergeCell ref="I20:L24"/>
    <mergeCell ref="I26:J26"/>
    <mergeCell ref="B12:C12"/>
    <mergeCell ref="K26:L26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E19:H19"/>
    <mergeCell ref="I25:L25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20" customWidth="1" min="6" max="6"/>
    <col width="16" customWidth="1" min="7" max="7"/>
    <col width="16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9" t="n"/>
      <c r="H5" s="20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9" t="n"/>
      <c r="H6" s="20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9" t="n"/>
      <c r="H7" s="20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9" t="n"/>
      <c r="H8" s="20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9" t="n"/>
      <c r="H9" s="20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9" t="n"/>
      <c r="H10" s="20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9" t="n"/>
      <c r="H11" s="20" t="n"/>
    </row>
    <row r="13">
      <c r="A13" s="2" t="inlineStr">
        <is>
          <t>전략적 가산 요소</t>
        </is>
      </c>
      <c r="F13" s="2" t="inlineStr">
        <is>
          <t>권장 사용법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  <c r="F14" s="3" t="inlineStr">
        <is>
          <t>총점만으로 의사결정하지 말고, Adjustment 시트의 치명적 리스크를 함께 확인합니다.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  <c r="F15" s="3" t="inlineStr">
        <is>
          <t>Semiconductor_Extended 또는 Mobility_Extended의 총점이 높더라도 치명적 리스크가 크면 보류 가능합니다.</t>
        </is>
      </c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  <c r="F16" s="3" t="inlineStr">
        <is>
          <t>TIPS 평균점수와 CVC 평균점수는 정책연계/전략연계 관점의 참고지표입니다.</t>
        </is>
      </c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2026-03-18T13:17:39Z</dcterms:created>
  <dcterms:modified xmlns:dcterms="http://purl.org/dc/terms/" xmlns:xsi="http://www.w3.org/2001/XMLSchema-instance" xsi:type="dcterms:W3CDTF">2026-03-18T14:03:49Z</dcterms:modified>
</cp:coreProperties>
</file>