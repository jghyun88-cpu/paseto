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miconductor_Extended" sheetId="2" state="visible" r:id="rId2"/>
    <sheet xmlns:r="http://schemas.openxmlformats.org/officeDocument/2006/relationships" name="IC_Summary_Semiconductor" sheetId="3" state="visible" r:id="rId3"/>
    <sheet xmlns:r="http://schemas.openxmlformats.org/officeDocument/2006/relationships" name="Mobility_Extended" sheetId="4" state="visible" r:id="rId4"/>
    <sheet xmlns:r="http://schemas.openxmlformats.org/officeDocument/2006/relationships" name="IC_Summary_Mobility" sheetId="5" state="visible" r:id="rId5"/>
    <sheet xmlns:r="http://schemas.openxmlformats.org/officeDocument/2006/relationships" name="Adjustment" sheetId="6" state="visible" r:id="rId6"/>
  </sheets>
  <definedNames>
    <definedName name="_xlnm.Print_Area" localSheetId="2">'IC_Summary_Semiconductor'!$A$1:$L$36</definedName>
    <definedName name="_xlnm.Print_Area" localSheetId="4">'IC_Summary_Mobility'!$A$1:$L$36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Malgun Gothic"/>
      <b val="1"/>
      <color rgb="001F4E79"/>
      <sz val="16"/>
    </font>
    <font>
      <name val="Malgun Gothic"/>
      <b val="1"/>
      <color rgb="001F4E79"/>
      <sz val="13"/>
    </font>
    <font>
      <name val="Malgun Gothic"/>
      <sz val="10"/>
    </font>
    <font>
      <name val="Malgun Gothic"/>
      <b val="1"/>
      <color rgb="001F4E79"/>
      <sz val="15"/>
    </font>
    <font>
      <name val="Malgun Gothic"/>
      <b val="1"/>
      <color rgb="001F1F1F"/>
      <sz val="11"/>
    </font>
    <font>
      <name val="Malgun Gothic"/>
      <color rgb="000000FF"/>
      <sz val="10"/>
    </font>
    <font>
      <name val="Malgun Gothic"/>
      <b val="1"/>
      <color rgb="00FFFFFF"/>
      <sz val="11"/>
    </font>
    <font>
      <name val="Malgun Gothic"/>
      <color rgb="00000000"/>
      <sz val="10"/>
    </font>
    <font>
      <name val="Malgun Gothic"/>
      <color rgb="00666666"/>
      <sz val="10"/>
    </font>
    <font>
      <b val="1"/>
      <color rgb="001F4E78"/>
      <sz val="15"/>
    </font>
    <font>
      <b val="1"/>
      <color rgb="00FFFFFF"/>
      <sz val="11"/>
    </font>
    <font>
      <b val="1"/>
      <color rgb="00111827"/>
      <sz val="10"/>
    </font>
    <font>
      <color rgb="000000FF"/>
      <sz val="10"/>
    </font>
    <font>
      <b val="1"/>
      <color rgb="00111827"/>
      <sz val="11"/>
    </font>
    <font>
      <b val="1"/>
      <color rgb="001F4E78"/>
      <sz val="14"/>
    </font>
    <font>
      <sz val="10"/>
    </font>
    <font>
      <color rgb="00111827"/>
      <sz val="9"/>
    </font>
    <font>
      <sz val="9"/>
    </font>
  </fonts>
  <fills count="12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4F7FB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3F4F6"/>
      </patternFill>
    </fill>
    <fill>
      <patternFill patternType="solid">
        <fgColor rgb="00D9F0EE"/>
      </patternFill>
    </fill>
    <fill>
      <patternFill patternType="solid">
        <fgColor rgb="00FFFFFF"/>
      </patternFill>
    </fill>
    <fill>
      <patternFill patternType="solid">
        <fgColor rgb="000F766E"/>
      </patternFill>
    </fill>
    <fill>
      <patternFill patternType="solid">
        <fgColor rgb="00DCEAF7"/>
      </patternFill>
    </fill>
  </fills>
  <borders count="7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2" fillId="7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2" fillId="8" borderId="6" applyAlignment="1" pivotButton="0" quotePrefix="0" xfId="0">
      <alignment horizontal="left" vertical="center"/>
    </xf>
    <xf numFmtId="0" fontId="15" fillId="9" borderId="6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left" vertical="center"/>
    </xf>
    <xf numFmtId="0" fontId="16" fillId="0" borderId="6" applyAlignment="1" pivotButton="0" quotePrefix="0" xfId="0">
      <alignment horizontal="left" vertical="top" wrapText="1"/>
    </xf>
    <xf numFmtId="0" fontId="12" fillId="11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left" vertical="top" wrapText="1"/>
    </xf>
    <xf numFmtId="0" fontId="17" fillId="0" borderId="6" applyAlignment="1" pivotButton="0" quotePrefix="0" xfId="0">
      <alignment horizontal="left" vertical="center"/>
    </xf>
    <xf numFmtId="0" fontId="17" fillId="0" borderId="6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F4" authorId="0" shapeId="0">
      <text>
        <t>총점 자동 계산</t>
      </text>
    </comment>
    <comment ref="F6" authorId="0" shapeId="0">
      <text>
        <t>TIPS 관련 항목 평균</t>
      </text>
    </comment>
    <comment ref="F7" authorId="0" shapeId="0">
      <text>
        <t>CVC 관련 항목 평균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F4" authorId="0" shapeId="0">
      <text>
        <t>총점 자동 계산</t>
      </text>
    </comment>
    <comment ref="F6" authorId="0" shapeId="0">
      <text>
        <t>TIPS 관련 항목 평균</t>
      </text>
    </comment>
    <comment ref="F7" authorId="0" shapeId="0">
      <text>
        <t>CVC 관련 항목 평균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14400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14400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딥테크 투자심사 점수평가표 - TIPS/CVC 확장판</t>
        </is>
      </c>
    </row>
    <row r="3">
      <c r="A3" s="2" t="inlineStr">
        <is>
          <t>구성</t>
        </is>
      </c>
    </row>
    <row r="4">
      <c r="A4" s="3" t="inlineStr">
        <is>
          <t>1. Semiconductor_Extended : 반도체 기업용 확장 점수평가표</t>
        </is>
      </c>
    </row>
    <row r="5">
      <c r="A5" s="3" t="inlineStr">
        <is>
          <t>2. Mobility_Extended : 모빌리티 기업용 확장 점수평가표</t>
        </is>
      </c>
    </row>
    <row r="6">
      <c r="A6" s="3" t="inlineStr">
        <is>
          <t>3. Adjustment : 딥테크 보정평가표</t>
        </is>
      </c>
    </row>
    <row r="7">
      <c r="A7" s="3" t="inlineStr">
        <is>
          <t>4. 모든 점수는 1~5 입력, 환산점수·총점·권고안 자동 계산</t>
        </is>
      </c>
    </row>
    <row r="8">
      <c r="A8" s="3" t="inlineStr">
        <is>
          <t>5. TIPS 적합성 및 CVC 매칭 가능성 항목이 추가된 버전</t>
        </is>
      </c>
    </row>
    <row r="11">
      <c r="A11" s="2" t="inlineStr">
        <is>
          <t>점수 기준</t>
        </is>
      </c>
    </row>
    <row r="12">
      <c r="A12" s="3" t="inlineStr">
        <is>
          <t>5점 매우 우수</t>
        </is>
      </c>
    </row>
    <row r="13">
      <c r="A13" s="3" t="inlineStr">
        <is>
          <t>4점 우수</t>
        </is>
      </c>
    </row>
    <row r="14">
      <c r="A14" s="3" t="inlineStr">
        <is>
          <t>3점 보통</t>
        </is>
      </c>
    </row>
    <row r="15">
      <c r="A15" s="3" t="inlineStr">
        <is>
          <t>2점 미흡</t>
        </is>
      </c>
    </row>
    <row r="16">
      <c r="A16" s="3" t="inlineStr">
        <is>
          <t>1점 매우 미흡</t>
        </is>
      </c>
    </row>
    <row r="19">
      <c r="A19" s="2" t="inlineStr">
        <is>
          <t>권고안 기준</t>
        </is>
      </c>
    </row>
    <row r="20">
      <c r="A20" s="3" t="inlineStr">
        <is>
          <t>85점 이상 적극 투자검토</t>
        </is>
      </c>
    </row>
    <row r="21">
      <c r="A21" s="3" t="inlineStr">
        <is>
          <t>70~84점 조건부 투자검토</t>
        </is>
      </c>
    </row>
    <row r="22">
      <c r="A22" s="3" t="inlineStr">
        <is>
          <t>55~69점 PoC/보육 우선</t>
        </is>
      </c>
    </row>
    <row r="23">
      <c r="A23" s="3" t="inlineStr">
        <is>
          <t>54점 이하 부적합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9" customWidth="1" min="3" max="3"/>
    <col width="11" customWidth="1" min="4" max="4"/>
    <col width="11" customWidth="1" min="5" max="5"/>
    <col width="42" customWidth="1" min="6" max="6"/>
  </cols>
  <sheetData>
    <row r="1">
      <c r="A1" s="4" t="inlineStr">
        <is>
          <t>반도체 투자심사 점수평가표 - TIPS/CVC 확장판</t>
        </is>
      </c>
    </row>
    <row r="3">
      <c r="A3" s="2" t="inlineStr">
        <is>
          <t>기본정보</t>
        </is>
      </c>
    </row>
    <row r="4">
      <c r="A4" s="5" t="inlineStr">
        <is>
          <t>기업명</t>
        </is>
      </c>
      <c r="B4" s="6" t="inlineStr"/>
      <c r="E4" s="7" t="inlineStr">
        <is>
          <t>총점</t>
        </is>
      </c>
      <c r="F4" s="8">
        <f>SUM(E16:E31)</f>
        <v/>
      </c>
    </row>
    <row r="5">
      <c r="A5" s="5" t="inlineStr">
        <is>
          <t>대표자</t>
        </is>
      </c>
      <c r="B5" s="6" t="inlineStr"/>
      <c r="E5" s="7" t="inlineStr">
        <is>
          <t>권고안</t>
        </is>
      </c>
      <c r="F5" s="8">
        <f>IF(F4&gt;=85,"적극 투자검토",IF(F4&gt;=70,"조건부 투자검토",IF(F4&gt;=55,"PoC/보육 우선","부적합")))</f>
        <v/>
      </c>
    </row>
    <row r="6">
      <c r="A6" s="5" t="inlineStr">
        <is>
          <t>검토일</t>
        </is>
      </c>
      <c r="B6" s="6" t="inlineStr"/>
      <c r="E6" s="7" t="inlineStr">
        <is>
          <t>TIPS 평균점수</t>
        </is>
      </c>
      <c r="F6" s="8">
        <f>ROUND(AVERAGE(D29:D30),1)</f>
        <v/>
      </c>
    </row>
    <row r="7">
      <c r="A7" s="5" t="inlineStr">
        <is>
          <t>심사역</t>
        </is>
      </c>
      <c r="B7" s="6" t="inlineStr"/>
      <c r="E7" s="7" t="inlineStr">
        <is>
          <t>CVC 평균점수</t>
        </is>
      </c>
      <c r="F7" s="8">
        <f>ROUND(AVERAGE(D27:D28),1)</f>
        <v/>
      </c>
    </row>
    <row r="8">
      <c r="A8" s="5" t="inlineStr">
        <is>
          <t>기술 분야</t>
        </is>
      </c>
      <c r="B8" s="6" t="inlineStr">
        <is>
          <t>반도체</t>
        </is>
      </c>
    </row>
    <row r="9">
      <c r="A9" s="5" t="inlineStr">
        <is>
          <t>단계</t>
        </is>
      </c>
      <c r="B9" s="6" t="inlineStr">
        <is>
          <t>Pre-seed / Seed / Series A-</t>
        </is>
      </c>
    </row>
    <row r="10">
      <c r="A10" s="5" t="inlineStr">
        <is>
          <t>검토 목적</t>
        </is>
      </c>
      <c r="B10" s="6" t="inlineStr">
        <is>
          <t>투자심사 / IC 상정 전 검토</t>
        </is>
      </c>
    </row>
    <row r="14">
      <c r="A14" s="2" t="inlineStr">
        <is>
          <t>점수평가표</t>
        </is>
      </c>
    </row>
    <row r="15">
      <c r="A15" s="7" t="inlineStr">
        <is>
          <t>평가영역</t>
        </is>
      </c>
      <c r="B15" s="7" t="inlineStr">
        <is>
          <t>세부항목</t>
        </is>
      </c>
      <c r="C15" s="7" t="inlineStr">
        <is>
          <t>배점</t>
        </is>
      </c>
      <c r="D15" s="7" t="inlineStr">
        <is>
          <t>점수(1~5)</t>
        </is>
      </c>
      <c r="E15" s="7" t="inlineStr">
        <is>
          <t>환산점수</t>
        </is>
      </c>
      <c r="F15" s="7" t="inlineStr">
        <is>
          <t>평가코멘트</t>
        </is>
      </c>
    </row>
    <row r="16">
      <c r="A16" s="9" t="inlineStr">
        <is>
          <t>기술성</t>
        </is>
      </c>
      <c r="B16" s="10" t="inlineStr">
        <is>
          <t>핵심기술 차별성</t>
        </is>
      </c>
      <c r="C16" s="11" t="n">
        <v>8</v>
      </c>
      <c r="D16" s="12" t="inlineStr"/>
      <c r="E16" s="13">
        <f>IF(D16="",0,D16/5*C16)</f>
        <v/>
      </c>
      <c r="F16" s="10" t="inlineStr"/>
    </row>
    <row r="17">
      <c r="A17" s="9" t="inlineStr">
        <is>
          <t>기술성</t>
        </is>
      </c>
      <c r="B17" s="10" t="inlineStr">
        <is>
          <t>성능 검증 수준</t>
        </is>
      </c>
      <c r="C17" s="11" t="n">
        <v>8</v>
      </c>
      <c r="D17" s="12" t="inlineStr"/>
      <c r="E17" s="13">
        <f>IF(D17="",0,D17/5*C17)</f>
        <v/>
      </c>
      <c r="F17" s="10" t="inlineStr"/>
    </row>
    <row r="18">
      <c r="A18" s="9" t="inlineStr">
        <is>
          <t>기술성</t>
        </is>
      </c>
      <c r="B18" s="10" t="inlineStr">
        <is>
          <t>재현성/반복성</t>
        </is>
      </c>
      <c r="C18" s="11" t="n">
        <v>6</v>
      </c>
      <c r="D18" s="12" t="inlineStr"/>
      <c r="E18" s="13">
        <f>IF(D18="",0,D18/5*C18)</f>
        <v/>
      </c>
      <c r="F18" s="10" t="inlineStr"/>
    </row>
    <row r="19">
      <c r="A19" s="9" t="inlineStr">
        <is>
          <t>공정 적합성</t>
        </is>
      </c>
      <c r="B19" s="10" t="inlineStr">
        <is>
          <t>공정 적용 가능성</t>
        </is>
      </c>
      <c r="C19" s="11" t="n">
        <v>9</v>
      </c>
      <c r="D19" s="12" t="inlineStr"/>
      <c r="E19" s="13">
        <f>IF(D19="",0,D19/5*C19)</f>
        <v/>
      </c>
      <c r="F19" s="10" t="inlineStr"/>
    </row>
    <row r="20">
      <c r="A20" s="9" t="inlineStr">
        <is>
          <t>공정 적합성</t>
        </is>
      </c>
      <c r="B20" s="10" t="inlineStr">
        <is>
          <t>고객 도입 난이도</t>
        </is>
      </c>
      <c r="C20" s="11" t="n">
        <v>7</v>
      </c>
      <c r="D20" s="12" t="inlineStr"/>
      <c r="E20" s="13">
        <f>IF(D20="",0,D20/5*C20)</f>
        <v/>
      </c>
      <c r="F20" s="10" t="inlineStr"/>
    </row>
    <row r="21">
      <c r="A21" s="9" t="inlineStr">
        <is>
          <t>양산성</t>
        </is>
      </c>
      <c r="B21" s="10" t="inlineStr">
        <is>
          <t>수율/스케일업 가능성</t>
        </is>
      </c>
      <c r="C21" s="11" t="n">
        <v>9</v>
      </c>
      <c r="D21" s="12" t="inlineStr"/>
      <c r="E21" s="13">
        <f>IF(D21="",0,D21/5*C21)</f>
        <v/>
      </c>
      <c r="F21" s="10" t="inlineStr"/>
    </row>
    <row r="22">
      <c r="A22" s="9" t="inlineStr">
        <is>
          <t>양산성</t>
        </is>
      </c>
      <c r="B22" s="10" t="inlineStr">
        <is>
          <t>원가 및 생산성</t>
        </is>
      </c>
      <c r="C22" s="11" t="n">
        <v>6</v>
      </c>
      <c r="D22" s="12" t="inlineStr"/>
      <c r="E22" s="13">
        <f>IF(D22="",0,D22/5*C22)</f>
        <v/>
      </c>
      <c r="F22" s="10" t="inlineStr"/>
    </row>
    <row r="23">
      <c r="A23" s="9" t="inlineStr">
        <is>
          <t>신뢰성</t>
        </is>
      </c>
      <c r="B23" s="10" t="inlineStr">
        <is>
          <t>품질/신뢰성 수준</t>
        </is>
      </c>
      <c r="C23" s="11" t="n">
        <v>7</v>
      </c>
      <c r="D23" s="12" t="inlineStr"/>
      <c r="E23" s="13">
        <f>IF(D23="",0,D23/5*C23)</f>
        <v/>
      </c>
      <c r="F23" s="10" t="inlineStr"/>
    </row>
    <row r="24">
      <c r="A24" s="9" t="inlineStr">
        <is>
          <t>IP</t>
        </is>
      </c>
      <c r="B24" s="10" t="inlineStr">
        <is>
          <t>특허/진입장벽</t>
        </is>
      </c>
      <c r="C24" s="11" t="n">
        <v>6</v>
      </c>
      <c r="D24" s="12" t="inlineStr"/>
      <c r="E24" s="13">
        <f>IF(D24="",0,D24/5*C24)</f>
        <v/>
      </c>
      <c r="F24" s="10" t="inlineStr"/>
    </row>
    <row r="25">
      <c r="A25" s="9" t="inlineStr">
        <is>
          <t>시장성</t>
        </is>
      </c>
      <c r="B25" s="10" t="inlineStr">
        <is>
          <t>고객명확성/시장성</t>
        </is>
      </c>
      <c r="C25" s="11" t="n">
        <v>6</v>
      </c>
      <c r="D25" s="12" t="inlineStr"/>
      <c r="E25" s="13">
        <f>IF(D25="",0,D25/5*C25)</f>
        <v/>
      </c>
      <c r="F25" s="10" t="inlineStr"/>
    </row>
    <row r="26">
      <c r="A26" s="9" t="inlineStr">
        <is>
          <t>사업화</t>
        </is>
      </c>
      <c r="B26" s="10" t="inlineStr">
        <is>
          <t>샘플→매출 전환 경로</t>
        </is>
      </c>
      <c r="C26" s="11" t="n">
        <v>6</v>
      </c>
      <c r="D26" s="12" t="inlineStr"/>
      <c r="E26" s="13">
        <f>IF(D26="",0,D26/5*C26)</f>
        <v/>
      </c>
      <c r="F26" s="10" t="inlineStr"/>
    </row>
    <row r="27">
      <c r="A27" s="9" t="inlineStr">
        <is>
          <t>전략성</t>
        </is>
      </c>
      <c r="B27" s="10" t="inlineStr">
        <is>
          <t>CVC 전략 적합성</t>
        </is>
      </c>
      <c r="C27" s="11" t="n">
        <v>5</v>
      </c>
      <c r="D27" s="12" t="inlineStr"/>
      <c r="E27" s="13">
        <f>IF(D27="",0,D27/5*C27)</f>
        <v/>
      </c>
      <c r="F27" s="10" t="inlineStr"/>
    </row>
    <row r="28">
      <c r="A28" s="9" t="inlineStr">
        <is>
          <t>전략성</t>
        </is>
      </c>
      <c r="B28" s="10" t="inlineStr">
        <is>
          <t>CVC 전환 가능성</t>
        </is>
      </c>
      <c r="C28" s="11" t="n">
        <v>4</v>
      </c>
      <c r="D28" s="12" t="inlineStr"/>
      <c r="E28" s="13">
        <f>IF(D28="",0,D28/5*C28)</f>
        <v/>
      </c>
      <c r="F28" s="10" t="inlineStr"/>
    </row>
    <row r="29">
      <c r="A29" s="9" t="inlineStr">
        <is>
          <t>정책연계</t>
        </is>
      </c>
      <c r="B29" s="10" t="inlineStr">
        <is>
          <t>TIPS 적합성</t>
        </is>
      </c>
      <c r="C29" s="11" t="n">
        <v>4</v>
      </c>
      <c r="D29" s="12" t="inlineStr"/>
      <c r="E29" s="13">
        <f>IF(D29="",0,D29/5*C29)</f>
        <v/>
      </c>
      <c r="F29" s="10" t="inlineStr"/>
    </row>
    <row r="30">
      <c r="A30" s="9" t="inlineStr">
        <is>
          <t>정책연계</t>
        </is>
      </c>
      <c r="B30" s="10" t="inlineStr">
        <is>
          <t>TIPS 실행 준비도</t>
        </is>
      </c>
      <c r="C30" s="11" t="n">
        <v>4</v>
      </c>
      <c r="D30" s="12" t="inlineStr"/>
      <c r="E30" s="13">
        <f>IF(D30="",0,D30/5*C30)</f>
        <v/>
      </c>
      <c r="F30" s="10" t="inlineStr"/>
    </row>
    <row r="31">
      <c r="A31" s="9" t="inlineStr">
        <is>
          <t>팀</t>
        </is>
      </c>
      <c r="B31" s="10" t="inlineStr">
        <is>
          <t>창업팀 전문성 및 실행력</t>
        </is>
      </c>
      <c r="C31" s="11" t="n">
        <v>5</v>
      </c>
      <c r="D31" s="12" t="inlineStr"/>
      <c r="E31" s="13">
        <f>IF(D31="",0,D31/5*C31)</f>
        <v/>
      </c>
      <c r="F31" s="10" t="inlineStr"/>
    </row>
    <row r="32">
      <c r="A32" s="14" t="inlineStr">
        <is>
          <t>총점</t>
        </is>
      </c>
      <c r="B32" s="19" t="n"/>
      <c r="C32" s="19" t="n"/>
      <c r="D32" s="20" t="n"/>
      <c r="E32" s="14">
        <f>SUM(E16:E31)</f>
        <v/>
      </c>
    </row>
    <row r="34">
      <c r="A34" s="2" t="inlineStr">
        <is>
          <t>총평</t>
        </is>
      </c>
    </row>
    <row r="35">
      <c r="A35" s="15" t="inlineStr">
        <is>
          <t>강점</t>
        </is>
      </c>
      <c r="B35" s="16" t="n"/>
      <c r="C35" s="19" t="n"/>
      <c r="D35" s="19" t="n"/>
      <c r="E35" s="19" t="n"/>
      <c r="F35" s="20" t="n"/>
    </row>
    <row r="36">
      <c r="A36" s="15" t="inlineStr">
        <is>
          <t>핵심 리스크</t>
        </is>
      </c>
      <c r="B36" s="16" t="n"/>
      <c r="C36" s="19" t="n"/>
      <c r="D36" s="19" t="n"/>
      <c r="E36" s="19" t="n"/>
      <c r="F36" s="20" t="n"/>
    </row>
    <row r="37">
      <c r="A37" s="15" t="inlineStr">
        <is>
          <t>필수 보완과제</t>
        </is>
      </c>
      <c r="B37" s="16" t="n"/>
      <c r="C37" s="19" t="n"/>
      <c r="D37" s="19" t="n"/>
      <c r="E37" s="19" t="n"/>
      <c r="F37" s="20" t="n"/>
    </row>
    <row r="38">
      <c r="A38" s="15" t="inlineStr">
        <is>
          <t>IC 상정 권고 여부</t>
        </is>
      </c>
      <c r="B38" s="16" t="n"/>
      <c r="C38" s="19" t="n"/>
      <c r="D38" s="19" t="n"/>
      <c r="E38" s="19" t="n"/>
      <c r="F38" s="20" t="n"/>
    </row>
  </sheetData>
  <mergeCells count="5">
    <mergeCell ref="B38:F38"/>
    <mergeCell ref="B37:F37"/>
    <mergeCell ref="B36:F36"/>
    <mergeCell ref="A32:D32"/>
    <mergeCell ref="B35:F35"/>
  </mergeCells>
  <conditionalFormatting sqref="D16:D31">
    <cfRule type="cellIs" priority="1" operator="equal" dxfId="0">
      <formula>5</formula>
    </cfRule>
    <cfRule type="cellIs" priority="2" operator="lessThan" dxfId="1">
      <formula>3</formula>
    </cfRule>
  </conditionalFormatting>
  <dataValidations count="1">
    <dataValidation sqref="D16 D17 D18 D19 D20 D21 D22 D23 D24 D25 D26 D27 D28 D29 D30 D31" showDropDown="0" showInputMessage="0" showErrorMessage="0" allowBlank="1" error="1~5만 입력하세요." prompt="1~5 점수 입력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7:L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/>
    <row r="2" ht="44" customHeight="1"/>
    <row r="3" ht="22" customHeight="1"/>
    <row r="4" ht="22" customHeight="1"/>
    <row r="5" ht="22" customHeight="1"/>
    <row r="6" ht="22" customHeight="1"/>
    <row r="7" ht="22" customHeight="1">
      <c r="A7" s="21" t="inlineStr">
        <is>
          <t>Semiconductor / IC 제출용 1페이지 요약</t>
        </is>
      </c>
    </row>
    <row r="8" ht="22" customHeight="1"/>
    <row r="9" ht="22" customHeight="1">
      <c r="A9" s="22" t="inlineStr">
        <is>
          <t>1. 기본정보</t>
        </is>
      </c>
    </row>
    <row r="10" ht="22" customHeight="1">
      <c r="A10" s="23" t="inlineStr">
        <is>
          <t>기업명</t>
        </is>
      </c>
      <c r="B10" s="24">
        <f>'Semiconductor_Extended'!B4</f>
        <v/>
      </c>
      <c r="E10" s="23" t="inlineStr">
        <is>
          <t>대표자</t>
        </is>
      </c>
      <c r="F10" s="24">
        <f>'Semiconductor_Extended'!B5</f>
        <v/>
      </c>
      <c r="I10" s="23" t="inlineStr">
        <is>
          <t>검토일</t>
        </is>
      </c>
      <c r="J10" s="24">
        <f>'Semiconductor_Extended'!B6</f>
        <v/>
      </c>
    </row>
    <row r="11" ht="22" customHeight="1">
      <c r="A11" s="23" t="inlineStr">
        <is>
          <t>심사역</t>
        </is>
      </c>
      <c r="B11" s="24">
        <f>'Semiconductor_Extended'!B7</f>
        <v/>
      </c>
      <c r="E11" s="23" t="inlineStr">
        <is>
          <t>기술 분야</t>
        </is>
      </c>
      <c r="F11" s="24">
        <f>'Semiconductor_Extended'!B8</f>
        <v/>
      </c>
      <c r="I11" s="23" t="inlineStr">
        <is>
          <t>단계</t>
        </is>
      </c>
      <c r="J11" s="24">
        <f>'Semiconductor_Extended'!B9</f>
        <v/>
      </c>
    </row>
    <row r="12" ht="22" customHeight="1">
      <c r="A12" s="23" t="inlineStr">
        <is>
          <t>검토 목적</t>
        </is>
      </c>
      <c r="B12" s="24">
        <f>'Semiconductor_Extended'!B10</f>
        <v/>
      </c>
      <c r="E12" s="23" t="inlineStr">
        <is>
          <t>총점</t>
        </is>
      </c>
      <c r="F12" s="24">
        <f>'Semiconductor_Extended'!F4</f>
        <v/>
      </c>
      <c r="I12" s="23" t="inlineStr">
        <is>
          <t>권고안</t>
        </is>
      </c>
      <c r="J12" s="24">
        <f>'Semiconductor_Extended'!F5</f>
        <v/>
      </c>
    </row>
    <row r="13" ht="22" customHeight="1"/>
    <row r="14" ht="22" customHeight="1">
      <c r="A14" s="22" t="inlineStr">
        <is>
          <t>2. 핵심 지표</t>
        </is>
      </c>
    </row>
    <row r="15" ht="22" customHeight="1">
      <c r="A15" s="25" t="inlineStr">
        <is>
          <t>총점</t>
        </is>
      </c>
      <c r="D15" s="25" t="inlineStr">
        <is>
          <t>권고안</t>
        </is>
      </c>
      <c r="G15" s="25" t="inlineStr">
        <is>
          <t>TIPS 평균점수</t>
        </is>
      </c>
      <c r="J15" s="25" t="inlineStr">
        <is>
          <t>CVC 평균점수</t>
        </is>
      </c>
    </row>
    <row r="16" ht="22" customHeight="1">
      <c r="A16" s="26">
        <f>'Semiconductor_Extended'!F4</f>
        <v/>
      </c>
      <c r="D16" s="26">
        <f>'Semiconductor_Extended'!F5</f>
        <v/>
      </c>
      <c r="G16" s="26">
        <f>'Semiconductor_Extended'!F6</f>
        <v/>
      </c>
      <c r="J16" s="26">
        <f>'Semiconductor_Extended'!F7</f>
        <v/>
      </c>
    </row>
    <row r="17" ht="22" customHeight="1"/>
    <row r="18" ht="22" customHeight="1"/>
    <row r="19" ht="22" customHeight="1">
      <c r="A19" s="27" t="inlineStr">
        <is>
          <t>3. 상위 강점</t>
        </is>
      </c>
      <c r="E19" s="27" t="inlineStr">
        <is>
          <t>4. 핵심 리스크</t>
        </is>
      </c>
      <c r="I19" s="27" t="inlineStr">
        <is>
          <t>5. IC 액션 포인트</t>
        </is>
      </c>
    </row>
    <row r="20" ht="22" customHeight="1">
      <c r="A20" s="28" t="inlineStr">
        <is>
          <t>• 핵심기술 차별성
• 사업화 경로
• 팀 실행력</t>
        </is>
      </c>
      <c r="E20" s="28" t="inlineStr">
        <is>
          <t>• 기술/성능 불확실성
• 양산/실증 지연
• 규제/고객 도입 리스크</t>
        </is>
      </c>
      <c r="I20" s="28" t="inlineStr">
        <is>
          <t>• 즉시 투자
• 조건부 투자
• PoC 우선
• 보육 우선</t>
        </is>
      </c>
    </row>
    <row r="21" ht="22" customHeight="1"/>
    <row r="22" ht="22" customHeight="1"/>
    <row r="23" ht="22" customHeight="1"/>
    <row r="24" ht="22" customHeight="1"/>
    <row r="25" ht="22" customHeight="1"/>
    <row r="26" ht="22" customHeight="1">
      <c r="A26" s="22" t="inlineStr">
        <is>
          <t>6. 항목별 점수 요약</t>
        </is>
      </c>
    </row>
    <row r="27" ht="22" customHeight="1">
      <c r="A27" s="29" t="inlineStr">
        <is>
          <t>평가영역</t>
        </is>
      </c>
      <c r="B27" s="29" t="inlineStr">
        <is>
          <t>배점</t>
        </is>
      </c>
      <c r="C27" s="29" t="inlineStr">
        <is>
          <t>입력점수</t>
        </is>
      </c>
      <c r="D27" s="29" t="inlineStr">
        <is>
          <t>환산점수</t>
        </is>
      </c>
      <c r="F27" s="30" t="inlineStr">
        <is>
          <t>판정 기준
• 85점 이상: 적극 투자검토
• 70~84점: 조건부 투자검토
• 55~69점: PoC/보육 우선
• 54점 이하: 부적합
제출 권장 묶음: 점수평가표 + 기술검증 결과지 + 보정평가표</t>
        </is>
      </c>
    </row>
    <row r="28" ht="22" customHeight="1">
      <c r="A28" s="31">
        <f>'Semiconductor_Extended'!A16</f>
        <v/>
      </c>
      <c r="B28" s="32">
        <f>'Semiconductor_Extended'!C16</f>
        <v/>
      </c>
      <c r="C28" s="32">
        <f>'Semiconductor_Extended'!D16</f>
        <v/>
      </c>
      <c r="D28" s="32">
        <f>'Semiconductor_Extended'!E16</f>
        <v/>
      </c>
    </row>
    <row r="29" ht="22" customHeight="1">
      <c r="A29" s="31">
        <f>'Semiconductor_Extended'!A17</f>
        <v/>
      </c>
      <c r="B29" s="32">
        <f>'Semiconductor_Extended'!C17</f>
        <v/>
      </c>
      <c r="C29" s="32">
        <f>'Semiconductor_Extended'!D17</f>
        <v/>
      </c>
      <c r="D29" s="32">
        <f>'Semiconductor_Extended'!E17</f>
        <v/>
      </c>
    </row>
    <row r="30" ht="22" customHeight="1">
      <c r="A30" s="31">
        <f>'Semiconductor_Extended'!A18</f>
        <v/>
      </c>
      <c r="B30" s="32">
        <f>'Semiconductor_Extended'!C18</f>
        <v/>
      </c>
      <c r="C30" s="32">
        <f>'Semiconductor_Extended'!D18</f>
        <v/>
      </c>
      <c r="D30" s="32">
        <f>'Semiconductor_Extended'!E18</f>
        <v/>
      </c>
    </row>
    <row r="31" ht="22" customHeight="1">
      <c r="A31" s="31">
        <f>'Semiconductor_Extended'!A19</f>
        <v/>
      </c>
      <c r="B31" s="32">
        <f>'Semiconductor_Extended'!C19</f>
        <v/>
      </c>
      <c r="C31" s="32">
        <f>'Semiconductor_Extended'!D19</f>
        <v/>
      </c>
      <c r="D31" s="32">
        <f>'Semiconductor_Extended'!E19</f>
        <v/>
      </c>
    </row>
    <row r="32" ht="22" customHeight="1">
      <c r="A32" s="31">
        <f>'Semiconductor_Extended'!A20</f>
        <v/>
      </c>
      <c r="B32" s="32">
        <f>'Semiconductor_Extended'!C20</f>
        <v/>
      </c>
      <c r="C32" s="32">
        <f>'Semiconductor_Extended'!D20</f>
        <v/>
      </c>
      <c r="D32" s="32">
        <f>'Semiconductor_Extended'!E20</f>
        <v/>
      </c>
    </row>
    <row r="33" ht="22" customHeight="1">
      <c r="A33" s="31">
        <f>'Semiconductor_Extended'!A21</f>
        <v/>
      </c>
      <c r="B33" s="32">
        <f>'Semiconductor_Extended'!C21</f>
        <v/>
      </c>
      <c r="C33" s="32">
        <f>'Semiconductor_Extended'!D21</f>
        <v/>
      </c>
      <c r="D33" s="32">
        <f>'Semiconductor_Extended'!E21</f>
        <v/>
      </c>
    </row>
    <row r="34" ht="22" customHeight="1">
      <c r="A34" s="31">
        <f>'Semiconductor_Extended'!A22</f>
        <v/>
      </c>
      <c r="B34" s="32">
        <f>'Semiconductor_Extended'!C22</f>
        <v/>
      </c>
      <c r="C34" s="32">
        <f>'Semiconductor_Extended'!D22</f>
        <v/>
      </c>
      <c r="D34" s="32">
        <f>'Semiconductor_Extended'!E22</f>
        <v/>
      </c>
    </row>
    <row r="35" ht="22" customHeight="1">
      <c r="A35" s="31">
        <f>'Semiconductor_Extended'!A23</f>
        <v/>
      </c>
      <c r="B35" s="32">
        <f>'Semiconductor_Extended'!C23</f>
        <v/>
      </c>
      <c r="C35" s="32">
        <f>'Semiconductor_Extended'!D23</f>
        <v/>
      </c>
      <c r="D35" s="32">
        <f>'Semiconductor_Extended'!E23</f>
        <v/>
      </c>
    </row>
    <row r="36" ht="22" customHeight="1">
      <c r="A36" s="31">
        <f>'Semiconductor_Extended'!A24</f>
        <v/>
      </c>
      <c r="B36" s="32">
        <f>'Semiconductor_Extended'!C24</f>
        <v/>
      </c>
      <c r="C36" s="32">
        <f>'Semiconductor_Extended'!D24</f>
        <v/>
      </c>
      <c r="D36" s="32">
        <f>'Semiconductor_Extended'!E24</f>
        <v/>
      </c>
    </row>
    <row r="37" hidden="1" ht="22" customHeight="1">
      <c r="A37" s="31">
        <f>'Semiconductor_Extended'!A25</f>
        <v/>
      </c>
      <c r="B37" s="32">
        <f>'Semiconductor_Extended'!C25</f>
        <v/>
      </c>
      <c r="C37" s="32">
        <f>'Semiconductor_Extended'!D25</f>
        <v/>
      </c>
      <c r="D37" s="32">
        <f>'Semiconductor_Extended'!E25</f>
        <v/>
      </c>
    </row>
    <row r="38" hidden="1" ht="22" customHeight="1">
      <c r="A38" s="31">
        <f>'Semiconductor_Extended'!A26</f>
        <v/>
      </c>
      <c r="B38" s="32">
        <f>'Semiconductor_Extended'!C26</f>
        <v/>
      </c>
      <c r="C38" s="32">
        <f>'Semiconductor_Extended'!D26</f>
        <v/>
      </c>
      <c r="D38" s="32">
        <f>'Semiconductor_Extended'!E26</f>
        <v/>
      </c>
    </row>
    <row r="39" hidden="1" ht="22" customHeight="1">
      <c r="A39" s="31">
        <f>'Semiconductor_Extended'!A27</f>
        <v/>
      </c>
      <c r="B39" s="32">
        <f>'Semiconductor_Extended'!C27</f>
        <v/>
      </c>
      <c r="C39" s="32">
        <f>'Semiconductor_Extended'!D27</f>
        <v/>
      </c>
      <c r="D39" s="32">
        <f>'Semiconductor_Extended'!E27</f>
        <v/>
      </c>
    </row>
    <row r="40" hidden="1">
      <c r="A40" s="31">
        <f>'Semiconductor_Extended'!A28</f>
        <v/>
      </c>
      <c r="B40" s="32">
        <f>'Semiconductor_Extended'!C28</f>
        <v/>
      </c>
      <c r="C40" s="32">
        <f>'Semiconductor_Extended'!D28</f>
        <v/>
      </c>
      <c r="D40" s="32">
        <f>'Semiconductor_Extended'!E28</f>
        <v/>
      </c>
    </row>
    <row r="41" hidden="1">
      <c r="A41" s="31">
        <f>'Semiconductor_Extended'!A29</f>
        <v/>
      </c>
      <c r="B41" s="32">
        <f>'Semiconductor_Extended'!C29</f>
        <v/>
      </c>
      <c r="C41" s="32">
        <f>'Semiconductor_Extended'!D29</f>
        <v/>
      </c>
      <c r="D41" s="32">
        <f>'Semiconductor_Extended'!E29</f>
        <v/>
      </c>
    </row>
    <row r="42" hidden="1">
      <c r="A42" s="31">
        <f>'Semiconductor_Extended'!A30</f>
        <v/>
      </c>
      <c r="B42" s="32">
        <f>'Semiconductor_Extended'!C30</f>
        <v/>
      </c>
      <c r="C42" s="32">
        <f>'Semiconductor_Extended'!D30</f>
        <v/>
      </c>
      <c r="D42" s="32">
        <f>'Semiconductor_Extended'!E30</f>
        <v/>
      </c>
    </row>
    <row r="43" hidden="1">
      <c r="A43" s="31">
        <f>'Semiconductor_Extended'!A31</f>
        <v/>
      </c>
      <c r="B43" s="32">
        <f>'Semiconductor_Extended'!C31</f>
        <v/>
      </c>
      <c r="C43" s="32">
        <f>'Semiconductor_Extended'!D31</f>
        <v/>
      </c>
      <c r="D43" s="32">
        <f>'Semiconductor_Extended'!E31</f>
        <v/>
      </c>
    </row>
  </sheetData>
  <mergeCells count="28">
    <mergeCell ref="F11:G11"/>
    <mergeCell ref="A7:L7"/>
    <mergeCell ref="G16:I17"/>
    <mergeCell ref="F10:G10"/>
    <mergeCell ref="J10:K10"/>
    <mergeCell ref="A19:D19"/>
    <mergeCell ref="A20:D24"/>
    <mergeCell ref="I19:L19"/>
    <mergeCell ref="I20:L24"/>
    <mergeCell ref="G15:I15"/>
    <mergeCell ref="B12:C12"/>
    <mergeCell ref="A26:L26"/>
    <mergeCell ref="F12:G12"/>
    <mergeCell ref="F27:L31"/>
    <mergeCell ref="B11:C11"/>
    <mergeCell ref="A14:L14"/>
    <mergeCell ref="D15:F15"/>
    <mergeCell ref="A16:C17"/>
    <mergeCell ref="J11:K11"/>
    <mergeCell ref="B10:C10"/>
    <mergeCell ref="A9:L9"/>
    <mergeCell ref="A15:C15"/>
    <mergeCell ref="E19:H19"/>
    <mergeCell ref="E20:H24"/>
    <mergeCell ref="D16:F17"/>
    <mergeCell ref="J12:K12"/>
    <mergeCell ref="J16:L17"/>
    <mergeCell ref="J15:L15"/>
  </mergeCells>
  <printOptions horizontalCentered="1" verticalCentered="0"/>
  <pageMargins left="0.35" right="0.35" top="0.45" bottom="0.45" header="0.2" footer="0.2"/>
  <pageSetup orientation="landscape" fitToHeight="1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9" customWidth="1" min="3" max="3"/>
    <col width="11" customWidth="1" min="4" max="4"/>
    <col width="11" customWidth="1" min="5" max="5"/>
    <col width="42" customWidth="1" min="6" max="6"/>
  </cols>
  <sheetData>
    <row r="1">
      <c r="A1" s="4" t="inlineStr">
        <is>
          <t>모빌리티 투자심사 점수평가표 - TIPS/CVC 확장판</t>
        </is>
      </c>
    </row>
    <row r="3">
      <c r="A3" s="2" t="inlineStr">
        <is>
          <t>기본정보</t>
        </is>
      </c>
    </row>
    <row r="4">
      <c r="A4" s="5" t="inlineStr">
        <is>
          <t>기업명</t>
        </is>
      </c>
      <c r="B4" s="6" t="inlineStr"/>
      <c r="E4" s="7" t="inlineStr">
        <is>
          <t>총점</t>
        </is>
      </c>
      <c r="F4" s="8">
        <f>SUM(E16:E31)</f>
        <v/>
      </c>
    </row>
    <row r="5">
      <c r="A5" s="5" t="inlineStr">
        <is>
          <t>대표자</t>
        </is>
      </c>
      <c r="B5" s="6" t="inlineStr"/>
      <c r="E5" s="7" t="inlineStr">
        <is>
          <t>권고안</t>
        </is>
      </c>
      <c r="F5" s="8">
        <f>IF(F4&gt;=85,"적극 투자검토",IF(F4&gt;=70,"조건부 투자검토",IF(F4&gt;=55,"PoC/보육 우선","부적합")))</f>
        <v/>
      </c>
    </row>
    <row r="6">
      <c r="A6" s="5" t="inlineStr">
        <is>
          <t>검토일</t>
        </is>
      </c>
      <c r="B6" s="6" t="inlineStr"/>
      <c r="E6" s="7" t="inlineStr">
        <is>
          <t>TIPS 평균점수</t>
        </is>
      </c>
      <c r="F6" s="8">
        <f>ROUND(AVERAGE(D29:D30),1)</f>
        <v/>
      </c>
    </row>
    <row r="7">
      <c r="A7" s="5" t="inlineStr">
        <is>
          <t>심사역</t>
        </is>
      </c>
      <c r="B7" s="6" t="inlineStr"/>
      <c r="E7" s="7" t="inlineStr">
        <is>
          <t>CVC 평균점수</t>
        </is>
      </c>
      <c r="F7" s="8">
        <f>ROUND(AVERAGE(D27:D28),1)</f>
        <v/>
      </c>
    </row>
    <row r="8">
      <c r="A8" s="5" t="inlineStr">
        <is>
          <t>기술 분야</t>
        </is>
      </c>
      <c r="B8" s="6" t="inlineStr">
        <is>
          <t>모빌리티</t>
        </is>
      </c>
    </row>
    <row r="9">
      <c r="A9" s="5" t="inlineStr">
        <is>
          <t>단계</t>
        </is>
      </c>
      <c r="B9" s="6" t="inlineStr">
        <is>
          <t>Pre-seed / Seed / Series A-</t>
        </is>
      </c>
    </row>
    <row r="10">
      <c r="A10" s="5" t="inlineStr">
        <is>
          <t>검토 목적</t>
        </is>
      </c>
      <c r="B10" s="6" t="inlineStr">
        <is>
          <t>투자심사 / IC 상정 전 검토</t>
        </is>
      </c>
    </row>
    <row r="14">
      <c r="A14" s="2" t="inlineStr">
        <is>
          <t>점수평가표</t>
        </is>
      </c>
    </row>
    <row r="15">
      <c r="A15" s="7" t="inlineStr">
        <is>
          <t>평가영역</t>
        </is>
      </c>
      <c r="B15" s="7" t="inlineStr">
        <is>
          <t>세부항목</t>
        </is>
      </c>
      <c r="C15" s="7" t="inlineStr">
        <is>
          <t>배점</t>
        </is>
      </c>
      <c r="D15" s="7" t="inlineStr">
        <is>
          <t>점수(1~5)</t>
        </is>
      </c>
      <c r="E15" s="7" t="inlineStr">
        <is>
          <t>환산점수</t>
        </is>
      </c>
      <c r="F15" s="7" t="inlineStr">
        <is>
          <t>평가코멘트</t>
        </is>
      </c>
    </row>
    <row r="16">
      <c r="A16" s="9" t="inlineStr">
        <is>
          <t>기술성</t>
        </is>
      </c>
      <c r="B16" s="10" t="inlineStr">
        <is>
          <t>핵심기술 차별성</t>
        </is>
      </c>
      <c r="C16" s="11" t="n">
        <v>8</v>
      </c>
      <c r="D16" s="12" t="inlineStr"/>
      <c r="E16" s="13">
        <f>IF(D16="",0,D16/5*C16)</f>
        <v/>
      </c>
      <c r="F16" s="10" t="inlineStr"/>
    </row>
    <row r="17">
      <c r="A17" s="9" t="inlineStr">
        <is>
          <t>기술성</t>
        </is>
      </c>
      <c r="B17" s="10" t="inlineStr">
        <is>
          <t>기능 성능 수준</t>
        </is>
      </c>
      <c r="C17" s="11" t="n">
        <v>8</v>
      </c>
      <c r="D17" s="12" t="inlineStr"/>
      <c r="E17" s="13">
        <f>IF(D17="",0,D17/5*C17)</f>
        <v/>
      </c>
      <c r="F17" s="10" t="inlineStr"/>
    </row>
    <row r="18">
      <c r="A18" s="9" t="inlineStr">
        <is>
          <t>기술성</t>
        </is>
      </c>
      <c r="B18" s="10" t="inlineStr">
        <is>
          <t>시스템 연동성</t>
        </is>
      </c>
      <c r="C18" s="11" t="n">
        <v>6</v>
      </c>
      <c r="D18" s="12" t="inlineStr"/>
      <c r="E18" s="13">
        <f>IF(D18="",0,D18/5*C18)</f>
        <v/>
      </c>
      <c r="F18" s="10" t="inlineStr"/>
    </row>
    <row r="19">
      <c r="A19" s="9" t="inlineStr">
        <is>
          <t>안전성</t>
        </is>
      </c>
      <c r="B19" s="10" t="inlineStr">
        <is>
          <t>기능안전/고장대응</t>
        </is>
      </c>
      <c r="C19" s="11" t="n">
        <v>9</v>
      </c>
      <c r="D19" s="12" t="inlineStr"/>
      <c r="E19" s="13">
        <f>IF(D19="",0,D19/5*C19)</f>
        <v/>
      </c>
      <c r="F19" s="10" t="inlineStr"/>
    </row>
    <row r="20">
      <c r="A20" s="9" t="inlineStr">
        <is>
          <t>안전성</t>
        </is>
      </c>
      <c r="B20" s="10" t="inlineStr">
        <is>
          <t>신뢰성/내구성</t>
        </is>
      </c>
      <c r="C20" s="11" t="n">
        <v>7</v>
      </c>
      <c r="D20" s="12" t="inlineStr"/>
      <c r="E20" s="13">
        <f>IF(D20="",0,D20/5*C20)</f>
        <v/>
      </c>
      <c r="F20" s="10" t="inlineStr"/>
    </row>
    <row r="21">
      <c r="A21" s="9" t="inlineStr">
        <is>
          <t>규제</t>
        </is>
      </c>
      <c r="B21" s="10" t="inlineStr">
        <is>
          <t>인증/규제 대응력</t>
        </is>
      </c>
      <c r="C21" s="11" t="n">
        <v>7</v>
      </c>
      <c r="D21" s="12" t="inlineStr"/>
      <c r="E21" s="13">
        <f>IF(D21="",0,D21/5*C21)</f>
        <v/>
      </c>
      <c r="F21" s="10" t="inlineStr"/>
    </row>
    <row r="22">
      <c r="A22" s="9" t="inlineStr">
        <is>
          <t>적용성</t>
        </is>
      </c>
      <c r="B22" s="10" t="inlineStr">
        <is>
          <t>실차/현장 적용 가능성</t>
        </is>
      </c>
      <c r="C22" s="11" t="n">
        <v>9</v>
      </c>
      <c r="D22" s="12" t="inlineStr"/>
      <c r="E22" s="13">
        <f>IF(D22="",0,D22/5*C22)</f>
        <v/>
      </c>
      <c r="F22" s="10" t="inlineStr"/>
    </row>
    <row r="23">
      <c r="A23" s="9" t="inlineStr">
        <is>
          <t>적용성</t>
        </is>
      </c>
      <c r="B23" s="10" t="inlineStr">
        <is>
          <t>OEM/Tier 구조 적합성</t>
        </is>
      </c>
      <c r="C23" s="11" t="n">
        <v>7</v>
      </c>
      <c r="D23" s="12" t="inlineStr"/>
      <c r="E23" s="13">
        <f>IF(D23="",0,D23/5*C23)</f>
        <v/>
      </c>
      <c r="F23" s="10" t="inlineStr"/>
    </row>
    <row r="24">
      <c r="A24" s="9" t="inlineStr">
        <is>
          <t>사업성</t>
        </is>
      </c>
      <c r="B24" s="10" t="inlineStr">
        <is>
          <t>시장성 및 고객 명확성</t>
        </is>
      </c>
      <c r="C24" s="11" t="n">
        <v>6</v>
      </c>
      <c r="D24" s="12" t="inlineStr"/>
      <c r="E24" s="13">
        <f>IF(D24="",0,D24/5*C24)</f>
        <v/>
      </c>
      <c r="F24" s="10" t="inlineStr"/>
    </row>
    <row r="25">
      <c r="A25" s="9" t="inlineStr">
        <is>
          <t>사업성</t>
        </is>
      </c>
      <c r="B25" s="10" t="inlineStr">
        <is>
          <t>실증→계약 전환 경로</t>
        </is>
      </c>
      <c r="C25" s="11" t="n">
        <v>6</v>
      </c>
      <c r="D25" s="12" t="inlineStr"/>
      <c r="E25" s="13">
        <f>IF(D25="",0,D25/5*C25)</f>
        <v/>
      </c>
      <c r="F25" s="10" t="inlineStr"/>
    </row>
    <row r="26">
      <c r="A26" s="9" t="inlineStr">
        <is>
          <t>전략성</t>
        </is>
      </c>
      <c r="B26" s="10" t="inlineStr">
        <is>
          <t>CVC 전략 적합성</t>
        </is>
      </c>
      <c r="C26" s="11" t="n">
        <v>5</v>
      </c>
      <c r="D26" s="12" t="inlineStr"/>
      <c r="E26" s="13">
        <f>IF(D26="",0,D26/5*C26)</f>
        <v/>
      </c>
      <c r="F26" s="10" t="inlineStr"/>
    </row>
    <row r="27">
      <c r="A27" s="9" t="inlineStr">
        <is>
          <t>전략성</t>
        </is>
      </c>
      <c r="B27" s="10" t="inlineStr">
        <is>
          <t>CVC 전환 가능성</t>
        </is>
      </c>
      <c r="C27" s="11" t="n">
        <v>4</v>
      </c>
      <c r="D27" s="12" t="inlineStr"/>
      <c r="E27" s="13">
        <f>IF(D27="",0,D27/5*C27)</f>
        <v/>
      </c>
      <c r="F27" s="10" t="inlineStr"/>
    </row>
    <row r="28">
      <c r="A28" s="9" t="inlineStr">
        <is>
          <t>정책연계</t>
        </is>
      </c>
      <c r="B28" s="10" t="inlineStr">
        <is>
          <t>TIPS 적합성</t>
        </is>
      </c>
      <c r="C28" s="11" t="n">
        <v>4</v>
      </c>
      <c r="D28" s="12" t="inlineStr"/>
      <c r="E28" s="13">
        <f>IF(D28="",0,D28/5*C28)</f>
        <v/>
      </c>
      <c r="F28" s="10" t="inlineStr"/>
    </row>
    <row r="29">
      <c r="A29" s="9" t="inlineStr">
        <is>
          <t>정책연계</t>
        </is>
      </c>
      <c r="B29" s="10" t="inlineStr">
        <is>
          <t>TIPS 실행 준비도</t>
        </is>
      </c>
      <c r="C29" s="11" t="n">
        <v>4</v>
      </c>
      <c r="D29" s="12" t="inlineStr"/>
      <c r="E29" s="13">
        <f>IF(D29="",0,D29/5*C29)</f>
        <v/>
      </c>
      <c r="F29" s="10" t="inlineStr"/>
    </row>
    <row r="30">
      <c r="A30" s="9" t="inlineStr">
        <is>
          <t>운영성</t>
        </is>
      </c>
      <c r="B30" s="10" t="inlineStr">
        <is>
          <t>설치/운영/유지보수 가능성</t>
        </is>
      </c>
      <c r="C30" s="11" t="n">
        <v>4</v>
      </c>
      <c r="D30" s="12" t="inlineStr"/>
      <c r="E30" s="13">
        <f>IF(D30="",0,D30/5*C30)</f>
        <v/>
      </c>
      <c r="F30" s="10" t="inlineStr"/>
    </row>
    <row r="31">
      <c r="A31" s="9" t="inlineStr">
        <is>
          <t>팀</t>
        </is>
      </c>
      <c r="B31" s="10" t="inlineStr">
        <is>
          <t>창업팀 전문성 및 실행력</t>
        </is>
      </c>
      <c r="C31" s="11" t="n">
        <v>6</v>
      </c>
      <c r="D31" s="12" t="inlineStr"/>
      <c r="E31" s="13">
        <f>IF(D31="",0,D31/5*C31)</f>
        <v/>
      </c>
      <c r="F31" s="10" t="inlineStr"/>
    </row>
    <row r="32">
      <c r="A32" s="14" t="inlineStr">
        <is>
          <t>총점</t>
        </is>
      </c>
      <c r="B32" s="19" t="n"/>
      <c r="C32" s="19" t="n"/>
      <c r="D32" s="20" t="n"/>
      <c r="E32" s="14">
        <f>SUM(E16:E31)</f>
        <v/>
      </c>
    </row>
    <row r="34">
      <c r="A34" s="2" t="inlineStr">
        <is>
          <t>총평</t>
        </is>
      </c>
    </row>
    <row r="35">
      <c r="A35" s="15" t="inlineStr">
        <is>
          <t>강점</t>
        </is>
      </c>
      <c r="B35" s="16" t="n"/>
      <c r="C35" s="19" t="n"/>
      <c r="D35" s="19" t="n"/>
      <c r="E35" s="19" t="n"/>
      <c r="F35" s="20" t="n"/>
    </row>
    <row r="36">
      <c r="A36" s="15" t="inlineStr">
        <is>
          <t>핵심 리스크</t>
        </is>
      </c>
      <c r="B36" s="16" t="n"/>
      <c r="C36" s="19" t="n"/>
      <c r="D36" s="19" t="n"/>
      <c r="E36" s="19" t="n"/>
      <c r="F36" s="20" t="n"/>
    </row>
    <row r="37">
      <c r="A37" s="15" t="inlineStr">
        <is>
          <t>필수 보완과제</t>
        </is>
      </c>
      <c r="B37" s="16" t="n"/>
      <c r="C37" s="19" t="n"/>
      <c r="D37" s="19" t="n"/>
      <c r="E37" s="19" t="n"/>
      <c r="F37" s="20" t="n"/>
    </row>
    <row r="38">
      <c r="A38" s="15" t="inlineStr">
        <is>
          <t>IC 상정 권고 여부</t>
        </is>
      </c>
      <c r="B38" s="16" t="n"/>
      <c r="C38" s="19" t="n"/>
      <c r="D38" s="19" t="n"/>
      <c r="E38" s="19" t="n"/>
      <c r="F38" s="20" t="n"/>
    </row>
  </sheetData>
  <mergeCells count="5">
    <mergeCell ref="B38:F38"/>
    <mergeCell ref="B37:F37"/>
    <mergeCell ref="B36:F36"/>
    <mergeCell ref="A32:D32"/>
    <mergeCell ref="B35:F35"/>
  </mergeCells>
  <conditionalFormatting sqref="D16:D31">
    <cfRule type="cellIs" priority="1" operator="equal" dxfId="0">
      <formula>5</formula>
    </cfRule>
    <cfRule type="cellIs" priority="2" operator="lessThan" dxfId="1">
      <formula>3</formula>
    </cfRule>
  </conditionalFormatting>
  <dataValidations count="1">
    <dataValidation sqref="D16 D17 D18 D19 D20 D21 D22 D23 D24 D25 D26 D27 D28 D29 D30 D31" showDropDown="0" showInputMessage="0" showErrorMessage="0" allowBlank="1" error="1~5만 입력하세요." prompt="1~5 점수 입력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7:L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/>
    <row r="2" ht="44" customHeight="1"/>
    <row r="3" ht="22" customHeight="1"/>
    <row r="4" ht="22" customHeight="1"/>
    <row r="5" ht="22" customHeight="1"/>
    <row r="6" ht="22" customHeight="1"/>
    <row r="7" ht="22" customHeight="1">
      <c r="A7" s="21" t="inlineStr">
        <is>
          <t>Mobility / IC 제출용 1페이지 요약</t>
        </is>
      </c>
    </row>
    <row r="8" ht="22" customHeight="1"/>
    <row r="9" ht="22" customHeight="1">
      <c r="A9" s="22" t="inlineStr">
        <is>
          <t>1. 기본정보</t>
        </is>
      </c>
    </row>
    <row r="10" ht="22" customHeight="1">
      <c r="A10" s="23" t="inlineStr">
        <is>
          <t>기업명</t>
        </is>
      </c>
      <c r="B10" s="24">
        <f>'Mobility_Extended'!B4</f>
        <v/>
      </c>
      <c r="E10" s="23" t="inlineStr">
        <is>
          <t>대표자</t>
        </is>
      </c>
      <c r="F10" s="24">
        <f>'Mobility_Extended'!B5</f>
        <v/>
      </c>
      <c r="I10" s="23" t="inlineStr">
        <is>
          <t>검토일</t>
        </is>
      </c>
      <c r="J10" s="24">
        <f>'Mobility_Extended'!B6</f>
        <v/>
      </c>
    </row>
    <row r="11" ht="22" customHeight="1">
      <c r="A11" s="23" t="inlineStr">
        <is>
          <t>심사역</t>
        </is>
      </c>
      <c r="B11" s="24">
        <f>'Mobility_Extended'!B7</f>
        <v/>
      </c>
      <c r="E11" s="23" t="inlineStr">
        <is>
          <t>기술 분야</t>
        </is>
      </c>
      <c r="F11" s="24">
        <f>'Mobility_Extended'!B8</f>
        <v/>
      </c>
      <c r="I11" s="23" t="inlineStr">
        <is>
          <t>단계</t>
        </is>
      </c>
      <c r="J11" s="24">
        <f>'Mobility_Extended'!B9</f>
        <v/>
      </c>
    </row>
    <row r="12" ht="22" customHeight="1">
      <c r="A12" s="23" t="inlineStr">
        <is>
          <t>검토 목적</t>
        </is>
      </c>
      <c r="B12" s="24">
        <f>'Mobility_Extended'!B10</f>
        <v/>
      </c>
      <c r="E12" s="23" t="inlineStr">
        <is>
          <t>총점</t>
        </is>
      </c>
      <c r="F12" s="24">
        <f>'Mobility_Extended'!F4</f>
        <v/>
      </c>
      <c r="I12" s="23" t="inlineStr">
        <is>
          <t>권고안</t>
        </is>
      </c>
      <c r="J12" s="24">
        <f>'Mobility_Extended'!F5</f>
        <v/>
      </c>
    </row>
    <row r="13" ht="22" customHeight="1"/>
    <row r="14" ht="22" customHeight="1">
      <c r="A14" s="22" t="inlineStr">
        <is>
          <t>2. 핵심 지표</t>
        </is>
      </c>
    </row>
    <row r="15" ht="22" customHeight="1">
      <c r="A15" s="25" t="inlineStr">
        <is>
          <t>총점</t>
        </is>
      </c>
      <c r="D15" s="25" t="inlineStr">
        <is>
          <t>권고안</t>
        </is>
      </c>
      <c r="G15" s="25" t="inlineStr">
        <is>
          <t>TIPS 평균점수</t>
        </is>
      </c>
      <c r="J15" s="25" t="inlineStr">
        <is>
          <t>CVC 평균점수</t>
        </is>
      </c>
    </row>
    <row r="16" ht="22" customHeight="1">
      <c r="A16" s="26">
        <f>'Mobility_Extended'!F4</f>
        <v/>
      </c>
      <c r="D16" s="26">
        <f>'Mobility_Extended'!F5</f>
        <v/>
      </c>
      <c r="G16" s="26">
        <f>'Mobility_Extended'!F6</f>
        <v/>
      </c>
      <c r="J16" s="26">
        <f>'Mobility_Extended'!F7</f>
        <v/>
      </c>
    </row>
    <row r="17" ht="22" customHeight="1"/>
    <row r="18" ht="22" customHeight="1"/>
    <row r="19" ht="22" customHeight="1">
      <c r="A19" s="27" t="inlineStr">
        <is>
          <t>3. 상위 강점</t>
        </is>
      </c>
      <c r="E19" s="27" t="inlineStr">
        <is>
          <t>4. 핵심 리스크</t>
        </is>
      </c>
      <c r="I19" s="27" t="inlineStr">
        <is>
          <t>5. IC 액션 포인트</t>
        </is>
      </c>
    </row>
    <row r="20" ht="22" customHeight="1">
      <c r="A20" s="28" t="inlineStr">
        <is>
          <t>• 핵심기술 차별성
• 사업화 경로
• 팀 실행력</t>
        </is>
      </c>
      <c r="E20" s="28" t="inlineStr">
        <is>
          <t>• 기술/성능 불확실성
• 양산/실증 지연
• 규제/고객 도입 리스크</t>
        </is>
      </c>
      <c r="I20" s="28" t="inlineStr">
        <is>
          <t>• 즉시 투자
• 조건부 투자
• PoC 우선
• 보육 우선</t>
        </is>
      </c>
    </row>
    <row r="21" ht="22" customHeight="1"/>
    <row r="22" ht="22" customHeight="1"/>
    <row r="23" ht="22" customHeight="1"/>
    <row r="24" ht="22" customHeight="1"/>
    <row r="25" ht="22" customHeight="1"/>
    <row r="26" ht="22" customHeight="1">
      <c r="A26" s="22" t="inlineStr">
        <is>
          <t>6. 항목별 점수 요약</t>
        </is>
      </c>
    </row>
    <row r="27" ht="22" customHeight="1">
      <c r="A27" s="29" t="inlineStr">
        <is>
          <t>평가영역</t>
        </is>
      </c>
      <c r="B27" s="29" t="inlineStr">
        <is>
          <t>배점</t>
        </is>
      </c>
      <c r="C27" s="29" t="inlineStr">
        <is>
          <t>입력점수</t>
        </is>
      </c>
      <c r="D27" s="29" t="inlineStr">
        <is>
          <t>환산점수</t>
        </is>
      </c>
      <c r="F27" s="30" t="inlineStr">
        <is>
          <t>판정 기준
• 85점 이상: 적극 투자검토
• 70~84점: 조건부 투자검토
• 55~69점: PoC/보육 우선
• 54점 이하: 부적합
제출 권장 묶음: 점수평가표 + 기술검증 결과지 + 보정평가표</t>
        </is>
      </c>
    </row>
    <row r="28" ht="22" customHeight="1">
      <c r="A28" s="31">
        <f>'Mobility_Extended'!A16</f>
        <v/>
      </c>
      <c r="B28" s="32">
        <f>'Mobility_Extended'!C16</f>
        <v/>
      </c>
      <c r="C28" s="32">
        <f>'Mobility_Extended'!D16</f>
        <v/>
      </c>
      <c r="D28" s="32">
        <f>'Mobility_Extended'!E16</f>
        <v/>
      </c>
    </row>
    <row r="29" ht="22" customHeight="1">
      <c r="A29" s="31">
        <f>'Mobility_Extended'!A17</f>
        <v/>
      </c>
      <c r="B29" s="32">
        <f>'Mobility_Extended'!C17</f>
        <v/>
      </c>
      <c r="C29" s="32">
        <f>'Mobility_Extended'!D17</f>
        <v/>
      </c>
      <c r="D29" s="32">
        <f>'Mobility_Extended'!E17</f>
        <v/>
      </c>
    </row>
    <row r="30" ht="22" customHeight="1">
      <c r="A30" s="31">
        <f>'Mobility_Extended'!A18</f>
        <v/>
      </c>
      <c r="B30" s="32">
        <f>'Mobility_Extended'!C18</f>
        <v/>
      </c>
      <c r="C30" s="32">
        <f>'Mobility_Extended'!D18</f>
        <v/>
      </c>
      <c r="D30" s="32">
        <f>'Mobility_Extended'!E18</f>
        <v/>
      </c>
    </row>
    <row r="31" ht="22" customHeight="1">
      <c r="A31" s="31">
        <f>'Mobility_Extended'!A19</f>
        <v/>
      </c>
      <c r="B31" s="32">
        <f>'Mobility_Extended'!C19</f>
        <v/>
      </c>
      <c r="C31" s="32">
        <f>'Mobility_Extended'!D19</f>
        <v/>
      </c>
      <c r="D31" s="32">
        <f>'Mobility_Extended'!E19</f>
        <v/>
      </c>
    </row>
    <row r="32" ht="22" customHeight="1">
      <c r="A32" s="31">
        <f>'Mobility_Extended'!A20</f>
        <v/>
      </c>
      <c r="B32" s="32">
        <f>'Mobility_Extended'!C20</f>
        <v/>
      </c>
      <c r="C32" s="32">
        <f>'Mobility_Extended'!D20</f>
        <v/>
      </c>
      <c r="D32" s="32">
        <f>'Mobility_Extended'!E20</f>
        <v/>
      </c>
    </row>
    <row r="33" ht="22" customHeight="1">
      <c r="A33" s="31">
        <f>'Mobility_Extended'!A21</f>
        <v/>
      </c>
      <c r="B33" s="32">
        <f>'Mobility_Extended'!C21</f>
        <v/>
      </c>
      <c r="C33" s="32">
        <f>'Mobility_Extended'!D21</f>
        <v/>
      </c>
      <c r="D33" s="32">
        <f>'Mobility_Extended'!E21</f>
        <v/>
      </c>
    </row>
    <row r="34" ht="22" customHeight="1">
      <c r="A34" s="31">
        <f>'Mobility_Extended'!A22</f>
        <v/>
      </c>
      <c r="B34" s="32">
        <f>'Mobility_Extended'!C22</f>
        <v/>
      </c>
      <c r="C34" s="32">
        <f>'Mobility_Extended'!D22</f>
        <v/>
      </c>
      <c r="D34" s="32">
        <f>'Mobility_Extended'!E22</f>
        <v/>
      </c>
    </row>
    <row r="35" ht="22" customHeight="1">
      <c r="A35" s="31">
        <f>'Mobility_Extended'!A23</f>
        <v/>
      </c>
      <c r="B35" s="32">
        <f>'Mobility_Extended'!C23</f>
        <v/>
      </c>
      <c r="C35" s="32">
        <f>'Mobility_Extended'!D23</f>
        <v/>
      </c>
      <c r="D35" s="32">
        <f>'Mobility_Extended'!E23</f>
        <v/>
      </c>
    </row>
    <row r="36" ht="22" customHeight="1">
      <c r="A36" s="31">
        <f>'Mobility_Extended'!A24</f>
        <v/>
      </c>
      <c r="B36" s="32">
        <f>'Mobility_Extended'!C24</f>
        <v/>
      </c>
      <c r="C36" s="32">
        <f>'Mobility_Extended'!D24</f>
        <v/>
      </c>
      <c r="D36" s="32">
        <f>'Mobility_Extended'!E24</f>
        <v/>
      </c>
    </row>
    <row r="37" hidden="1" ht="22" customHeight="1">
      <c r="A37" s="31">
        <f>'Mobility_Extended'!A25</f>
        <v/>
      </c>
      <c r="B37" s="32">
        <f>'Mobility_Extended'!C25</f>
        <v/>
      </c>
      <c r="C37" s="32">
        <f>'Mobility_Extended'!D25</f>
        <v/>
      </c>
      <c r="D37" s="32">
        <f>'Mobility_Extended'!E25</f>
        <v/>
      </c>
    </row>
    <row r="38" hidden="1" ht="22" customHeight="1">
      <c r="A38" s="31">
        <f>'Mobility_Extended'!A26</f>
        <v/>
      </c>
      <c r="B38" s="32">
        <f>'Mobility_Extended'!C26</f>
        <v/>
      </c>
      <c r="C38" s="32">
        <f>'Mobility_Extended'!D26</f>
        <v/>
      </c>
      <c r="D38" s="32">
        <f>'Mobility_Extended'!E26</f>
        <v/>
      </c>
    </row>
    <row r="39" hidden="1" ht="22" customHeight="1">
      <c r="A39" s="31">
        <f>'Mobility_Extended'!A27</f>
        <v/>
      </c>
      <c r="B39" s="32">
        <f>'Mobility_Extended'!C27</f>
        <v/>
      </c>
      <c r="C39" s="32">
        <f>'Mobility_Extended'!D27</f>
        <v/>
      </c>
      <c r="D39" s="32">
        <f>'Mobility_Extended'!E27</f>
        <v/>
      </c>
    </row>
    <row r="40" hidden="1">
      <c r="A40" s="31">
        <f>'Mobility_Extended'!A28</f>
        <v/>
      </c>
      <c r="B40" s="32">
        <f>'Mobility_Extended'!C28</f>
        <v/>
      </c>
      <c r="C40" s="32">
        <f>'Mobility_Extended'!D28</f>
        <v/>
      </c>
      <c r="D40" s="32">
        <f>'Mobility_Extended'!E28</f>
        <v/>
      </c>
    </row>
    <row r="41" hidden="1">
      <c r="A41" s="31">
        <f>'Mobility_Extended'!A29</f>
        <v/>
      </c>
      <c r="B41" s="32">
        <f>'Mobility_Extended'!C29</f>
        <v/>
      </c>
      <c r="C41" s="32">
        <f>'Mobility_Extended'!D29</f>
        <v/>
      </c>
      <c r="D41" s="32">
        <f>'Mobility_Extended'!E29</f>
        <v/>
      </c>
    </row>
    <row r="42" hidden="1">
      <c r="A42" s="31">
        <f>'Mobility_Extended'!A30</f>
        <v/>
      </c>
      <c r="B42" s="32">
        <f>'Mobility_Extended'!C30</f>
        <v/>
      </c>
      <c r="C42" s="32">
        <f>'Mobility_Extended'!D30</f>
        <v/>
      </c>
      <c r="D42" s="32">
        <f>'Mobility_Extended'!E30</f>
        <v/>
      </c>
    </row>
    <row r="43" hidden="1">
      <c r="A43" s="31">
        <f>'Mobility_Extended'!A31</f>
        <v/>
      </c>
      <c r="B43" s="32">
        <f>'Mobility_Extended'!C31</f>
        <v/>
      </c>
      <c r="C43" s="32">
        <f>'Mobility_Extended'!D31</f>
        <v/>
      </c>
      <c r="D43" s="32">
        <f>'Mobility_Extended'!E31</f>
        <v/>
      </c>
    </row>
  </sheetData>
  <mergeCells count="28">
    <mergeCell ref="F11:G11"/>
    <mergeCell ref="A7:L7"/>
    <mergeCell ref="G16:I17"/>
    <mergeCell ref="F10:G10"/>
    <mergeCell ref="J10:K10"/>
    <mergeCell ref="A19:D19"/>
    <mergeCell ref="A20:D24"/>
    <mergeCell ref="I19:L19"/>
    <mergeCell ref="I20:L24"/>
    <mergeCell ref="G15:I15"/>
    <mergeCell ref="B12:C12"/>
    <mergeCell ref="A26:L26"/>
    <mergeCell ref="F12:G12"/>
    <mergeCell ref="F27:L31"/>
    <mergeCell ref="B11:C11"/>
    <mergeCell ref="A14:L14"/>
    <mergeCell ref="D15:F15"/>
    <mergeCell ref="A16:C17"/>
    <mergeCell ref="J11:K11"/>
    <mergeCell ref="B10:C10"/>
    <mergeCell ref="A9:L9"/>
    <mergeCell ref="A15:C15"/>
    <mergeCell ref="E19:H19"/>
    <mergeCell ref="E20:H24"/>
    <mergeCell ref="D16:F17"/>
    <mergeCell ref="J12:K12"/>
    <mergeCell ref="J16:L17"/>
    <mergeCell ref="J15:L15"/>
  </mergeCells>
  <printOptions horizontalCentered="1" verticalCentered="0"/>
  <pageMargins left="0.35" right="0.35" top="0.45" bottom="0.45" header="0.2" footer="0.2"/>
  <pageSetup orientation="landscape" fitToHeight="1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32" customWidth="1" min="4" max="4"/>
    <col width="20" customWidth="1" min="6" max="6"/>
    <col width="16" customWidth="1" min="7" max="7"/>
    <col width="16" customWidth="1" min="8" max="8"/>
  </cols>
  <sheetData>
    <row r="1">
      <c r="A1" s="4" t="inlineStr">
        <is>
          <t>딥테크 보정평가표</t>
        </is>
      </c>
    </row>
    <row r="3">
      <c r="A3" s="2" t="inlineStr">
        <is>
          <t>치명적 리스크 점검</t>
        </is>
      </c>
    </row>
    <row r="4">
      <c r="A4" s="7" t="inlineStr">
        <is>
          <t>No.</t>
        </is>
      </c>
      <c r="B4" s="7" t="inlineStr">
        <is>
          <t>치명적 리스크 항목</t>
        </is>
      </c>
      <c r="C4" s="7" t="inlineStr">
        <is>
          <t>체크</t>
        </is>
      </c>
      <c r="D4" s="7" t="inlineStr">
        <is>
          <t>코멘트</t>
        </is>
      </c>
      <c r="F4" s="2" t="inlineStr">
        <is>
          <t>보정 메모</t>
        </is>
      </c>
    </row>
    <row r="5">
      <c r="A5" s="9" t="n">
        <v>1</v>
      </c>
      <c r="B5" s="10" t="inlineStr">
        <is>
          <t>핵심 IP 분쟁 가능성이 높다</t>
        </is>
      </c>
      <c r="C5" s="18" t="inlineStr">
        <is>
          <t>[  ]</t>
        </is>
      </c>
      <c r="D5" s="16" t="inlineStr"/>
      <c r="F5" s="17" t="n"/>
      <c r="G5" s="19" t="n"/>
      <c r="H5" s="20" t="n"/>
    </row>
    <row r="6">
      <c r="A6" s="9" t="n">
        <v>2</v>
      </c>
      <c r="B6" s="10" t="inlineStr">
        <is>
          <t>공동창업자 또는 핵심기술 인력 이탈 위험이 높다</t>
        </is>
      </c>
      <c r="C6" s="18" t="inlineStr">
        <is>
          <t>[  ]</t>
        </is>
      </c>
      <c r="D6" s="16" t="inlineStr"/>
      <c r="F6" s="17" t="n"/>
      <c r="G6" s="19" t="n"/>
      <c r="H6" s="20" t="n"/>
    </row>
    <row r="7">
      <c r="A7" s="9" t="n">
        <v>3</v>
      </c>
      <c r="B7" s="10" t="inlineStr">
        <is>
          <t>고객 적용이 구조적으로 매우 어렵다</t>
        </is>
      </c>
      <c r="C7" s="18" t="inlineStr">
        <is>
          <t>[  ]</t>
        </is>
      </c>
      <c r="D7" s="16" t="inlineStr"/>
      <c r="F7" s="17" t="n"/>
      <c r="G7" s="19" t="n"/>
      <c r="H7" s="20" t="n"/>
    </row>
    <row r="8">
      <c r="A8" s="9" t="n">
        <v>4</v>
      </c>
      <c r="B8" s="10" t="inlineStr">
        <is>
          <t>기술 성능 데이터 신뢰성이 낮다</t>
        </is>
      </c>
      <c r="C8" s="18" t="inlineStr">
        <is>
          <t>[  ]</t>
        </is>
      </c>
      <c r="D8" s="16" t="inlineStr"/>
      <c r="F8" s="17" t="n"/>
      <c r="G8" s="19" t="n"/>
      <c r="H8" s="20" t="n"/>
    </row>
    <row r="9">
      <c r="A9" s="9" t="n">
        <v>5</v>
      </c>
      <c r="B9" s="10" t="inlineStr">
        <is>
          <t>인증/규제로 인해 상용화가 장기간 지연될 가능성이 높다</t>
        </is>
      </c>
      <c r="C9" s="18" t="inlineStr">
        <is>
          <t>[  ]</t>
        </is>
      </c>
      <c r="D9" s="16" t="inlineStr"/>
      <c r="F9" s="17" t="n"/>
      <c r="G9" s="19" t="n"/>
      <c r="H9" s="20" t="n"/>
    </row>
    <row r="10">
      <c r="A10" s="9" t="n">
        <v>6</v>
      </c>
      <c r="B10" s="10" t="inlineStr">
        <is>
          <t>자금소진 속도가 지나치게 빠르다</t>
        </is>
      </c>
      <c r="C10" s="18" t="inlineStr">
        <is>
          <t>[  ]</t>
        </is>
      </c>
      <c r="D10" s="16" t="inlineStr"/>
      <c r="F10" s="17" t="n"/>
      <c r="G10" s="19" t="n"/>
      <c r="H10" s="20" t="n"/>
    </row>
    <row r="11">
      <c r="A11" s="9" t="n">
        <v>7</v>
      </c>
      <c r="B11" s="10" t="inlineStr">
        <is>
          <t>양산 또는 공급망 병목이 치명적이다</t>
        </is>
      </c>
      <c r="C11" s="18" t="inlineStr">
        <is>
          <t>[  ]</t>
        </is>
      </c>
      <c r="D11" s="16" t="inlineStr"/>
      <c r="F11" s="17" t="n"/>
      <c r="G11" s="19" t="n"/>
      <c r="H11" s="20" t="n"/>
    </row>
    <row r="13">
      <c r="A13" s="2" t="inlineStr">
        <is>
          <t>전략적 가산 요소</t>
        </is>
      </c>
      <c r="F13" s="2" t="inlineStr">
        <is>
          <t>권장 사용법</t>
        </is>
      </c>
    </row>
    <row r="14">
      <c r="A14" s="7" t="inlineStr">
        <is>
          <t>No.</t>
        </is>
      </c>
      <c r="B14" s="7" t="inlineStr">
        <is>
          <t>전략적 가산 요소</t>
        </is>
      </c>
      <c r="C14" s="7" t="inlineStr">
        <is>
          <t>체크</t>
        </is>
      </c>
      <c r="D14" s="7" t="inlineStr">
        <is>
          <t>코멘트</t>
        </is>
      </c>
      <c r="F14" s="3" t="inlineStr">
        <is>
          <t>총점만으로 의사결정하지 말고, Adjustment 시트의 치명적 리스크를 함께 확인합니다.</t>
        </is>
      </c>
    </row>
    <row r="15">
      <c r="A15" s="9" t="n">
        <v>1</v>
      </c>
      <c r="B15" s="10" t="inlineStr">
        <is>
          <t>대기업 또는 CVC의 명확한 관심이 존재한다</t>
        </is>
      </c>
      <c r="C15" s="18" t="inlineStr">
        <is>
          <t>[  ]</t>
        </is>
      </c>
      <c r="D15" s="16" t="inlineStr"/>
      <c r="F15" s="3" t="inlineStr">
        <is>
          <t>Semiconductor_Extended 또는 Mobility_Extended의 총점이 높더라도 치명적 리스크가 크면 보류 가능합니다.</t>
        </is>
      </c>
    </row>
    <row r="16">
      <c r="A16" s="9" t="n">
        <v>2</v>
      </c>
      <c r="B16" s="10" t="inlineStr">
        <is>
          <t>TIPS 적합성이 높다</t>
        </is>
      </c>
      <c r="C16" s="18" t="inlineStr">
        <is>
          <t>[  ]</t>
        </is>
      </c>
      <c r="D16" s="16" t="inlineStr"/>
      <c r="F16" s="3" t="inlineStr">
        <is>
          <t>TIPS 평균점수와 CVC 평균점수는 정책연계/전략연계 관점의 참고지표입니다.</t>
        </is>
      </c>
    </row>
    <row r="17">
      <c r="A17" s="9" t="n">
        <v>3</v>
      </c>
      <c r="B17" s="10" t="inlineStr">
        <is>
          <t>정부 R&amp;D 연계 가능성이 높다</t>
        </is>
      </c>
      <c r="C17" s="18" t="inlineStr">
        <is>
          <t>[  ]</t>
        </is>
      </c>
      <c r="D17" s="16" t="inlineStr"/>
    </row>
    <row r="18">
      <c r="A18" s="9" t="n">
        <v>4</v>
      </c>
      <c r="B18" s="10" t="inlineStr">
        <is>
          <t>공동개발 또는 기술이전 가능성이 높다</t>
        </is>
      </c>
      <c r="C18" s="18" t="inlineStr">
        <is>
          <t>[  ]</t>
        </is>
      </c>
      <c r="D18" s="16" t="inlineStr"/>
    </row>
    <row r="19">
      <c r="A19" s="9" t="n">
        <v>5</v>
      </c>
      <c r="B19" s="10" t="inlineStr">
        <is>
          <t>해외 고객 또는 해외 파트너 연계 가능성이 높다</t>
        </is>
      </c>
      <c r="C19" s="18" t="inlineStr">
        <is>
          <t>[  ]</t>
        </is>
      </c>
      <c r="D19" s="16" t="inlineStr"/>
    </row>
    <row r="20">
      <c r="A20" s="9" t="n">
        <v>6</v>
      </c>
      <c r="B20" s="10" t="inlineStr">
        <is>
          <t>산업 파급효과가 크다</t>
        </is>
      </c>
      <c r="C20" s="18" t="inlineStr">
        <is>
          <t>[  ]</t>
        </is>
      </c>
      <c r="D20" s="16" t="inlineStr"/>
    </row>
  </sheetData>
  <mergeCells count="7">
    <mergeCell ref="F10:H10"/>
    <mergeCell ref="F6:H6"/>
    <mergeCell ref="F5:H5"/>
    <mergeCell ref="F8:H8"/>
    <mergeCell ref="F9:H9"/>
    <mergeCell ref="F7:H7"/>
    <mergeCell ref="F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2026-03-18T13:17:39Z</dcterms:created>
  <dcterms:modified xmlns:dcterms="http://purl.org/dc/terms/" xmlns:xsi="http://www.w3.org/2001/XMLSchema-instance" xsi:type="dcterms:W3CDTF">2026-03-18T13:35:45Z</dcterms:modified>
</cp:coreProperties>
</file>