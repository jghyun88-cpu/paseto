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ing_Monthly" sheetId="3" state="visible" r:id="rId3"/>
    <sheet xmlns:r="http://schemas.openxmlformats.org/officeDocument/2006/relationships" name="Sourcing_Quarterly" sheetId="4" state="visible" r:id="rId4"/>
    <sheet xmlns:r="http://schemas.openxmlformats.org/officeDocument/2006/relationships" name="Investment_Monthly" sheetId="5" state="visible" r:id="rId5"/>
    <sheet xmlns:r="http://schemas.openxmlformats.org/officeDocument/2006/relationships" name="Investment_Quarterly" sheetId="6" state="visible" r:id="rId6"/>
    <sheet xmlns:r="http://schemas.openxmlformats.org/officeDocument/2006/relationships" name="Program_Monthly" sheetId="7" state="visible" r:id="rId7"/>
    <sheet xmlns:r="http://schemas.openxmlformats.org/officeDocument/2006/relationships" name="Program_Quarterly" sheetId="8" state="visible" r:id="rId8"/>
    <sheet xmlns:r="http://schemas.openxmlformats.org/officeDocument/2006/relationships" name="OpenInnovation_Monthly" sheetId="9" state="visible" r:id="rId9"/>
    <sheet xmlns:r="http://schemas.openxmlformats.org/officeDocument/2006/relationships" name="OpenInnovation_Quarterly" sheetId="10" state="visible" r:id="rId10"/>
    <sheet xmlns:r="http://schemas.openxmlformats.org/officeDocument/2006/relationships" name="Operations_Monthly" sheetId="11" state="visible" r:id="rId11"/>
    <sheet xmlns:r="http://schemas.openxmlformats.org/officeDocument/2006/relationships" name="Operations_Quarterly" sheetId="12" state="visible" r:id="rId12"/>
    <sheet xmlns:r="http://schemas.openxmlformats.org/officeDocument/2006/relationships" name="Link_Monthly" sheetId="13" state="visible" r:id="rId13"/>
    <sheet xmlns:r="http://schemas.openxmlformats.org/officeDocument/2006/relationships" name="Link_Quarterly" sheetId="14" state="visible" r:id="rId14"/>
    <sheet xmlns:r="http://schemas.openxmlformats.org/officeDocument/2006/relationships" name="Summary" sheetId="15" state="visible" r:id="rId15"/>
  </sheets>
  <definedNames>
    <definedName name="_xlnm.Print_Area" localSheetId="0">'Exec_Dashboard'!$A$1:$M$39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color rgb="00111827"/>
      <sz val="10"/>
    </font>
    <font>
      <b val="1"/>
      <color rgb="00111827"/>
      <sz val="10"/>
    </font>
    <font>
      <color rgb="000000FF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b val="1"/>
      <color rgb="00111827"/>
      <sz val="12"/>
    </font>
    <font>
      <color rgb="00008000"/>
      <sz val="10"/>
    </font>
    <font>
      <b val="1"/>
      <color rgb="00FFFFFF"/>
      <sz val="15"/>
    </font>
    <font>
      <b val="1"/>
      <color rgb="00163A5F"/>
      <sz val="14"/>
    </font>
    <font>
      <b val="1"/>
      <color rgb="00163A5F"/>
      <sz val="15"/>
    </font>
  </fonts>
  <fills count="9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F3F4F6"/>
      </patternFill>
    </fill>
    <fill>
      <patternFill patternType="solid">
        <fgColor rgb="00FFF7CC"/>
      </patternFill>
    </fill>
    <fill>
      <patternFill patternType="solid">
        <fgColor rgb="000F766E"/>
      </patternFill>
    </fill>
    <fill>
      <patternFill patternType="solid">
        <fgColor rgb="00DCEAF7"/>
      </patternFill>
    </fill>
    <fill>
      <patternFill patternType="solid">
        <fgColor rgb="00D9F0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165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2" fillId="7" borderId="1" pivotButton="0" quotePrefix="0" xfId="0"/>
    <xf numFmtId="0" fontId="4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165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5" fontId="11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334500" cy="1200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6:M3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/>
    <row r="2" ht="30" customHeight="1"/>
    <row r="3" ht="24" customHeight="1"/>
    <row r="4" ht="24" customHeight="1"/>
    <row r="5" ht="24" customHeight="1"/>
    <row r="6" ht="24" customHeight="1">
      <c r="A6" s="29" t="inlineStr">
        <is>
          <t>문서 메타정보</t>
        </is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8" t="n"/>
    </row>
    <row r="7" ht="24" customHeight="1">
      <c r="A7" s="3" t="inlineStr">
        <is>
          <t>회사명</t>
        </is>
      </c>
      <c r="B7" s="28" t="inlineStr">
        <is>
          <t>Your Company Name</t>
        </is>
      </c>
      <c r="C7" s="3" t="inlineStr">
        <is>
          <t>문서번호</t>
        </is>
      </c>
      <c r="D7" s="28" t="inlineStr">
        <is>
          <t>EXEC-DASH-2026-001</t>
        </is>
      </c>
      <c r="E7" s="3" t="inlineStr">
        <is>
          <t>버전</t>
        </is>
      </c>
      <c r="F7" s="28" t="inlineStr">
        <is>
          <t>v1.0</t>
        </is>
      </c>
      <c r="G7" s="3" t="inlineStr">
        <is>
          <t>검토상태</t>
        </is>
      </c>
      <c r="H7" s="28" t="inlineStr">
        <is>
          <t>Draft</t>
        </is>
      </c>
      <c r="I7" s="3" t="inlineStr">
        <is>
          <t>보안등급</t>
        </is>
      </c>
      <c r="J7" s="28" t="inlineStr">
        <is>
          <t>Internal Use Only</t>
        </is>
      </c>
      <c r="K7" s="3" t="inlineStr">
        <is>
          <t>작성</t>
        </is>
      </c>
      <c r="L7" s="28" t="inlineStr">
        <is>
          <t>운영총괄</t>
        </is>
      </c>
    </row>
    <row r="8" ht="22" customHeight="1">
      <c r="A8" s="3" t="inlineStr">
        <is>
          <t>검토</t>
        </is>
      </c>
      <c r="B8" s="28" t="inlineStr">
        <is>
          <t>대표/파트너</t>
        </is>
      </c>
      <c r="D8" s="3" t="inlineStr">
        <is>
          <t>보고월</t>
        </is>
      </c>
      <c r="E8" s="28" t="inlineStr">
        <is>
          <t>2026-01</t>
        </is>
      </c>
      <c r="G8" s="3" t="inlineStr">
        <is>
          <t>보고분기</t>
        </is>
      </c>
      <c r="H8" s="28" t="inlineStr">
        <is>
          <t>2026-Q1</t>
        </is>
      </c>
      <c r="J8" s="3" t="inlineStr">
        <is>
          <t>배포대상</t>
        </is>
      </c>
      <c r="K8" s="28" t="inlineStr">
        <is>
          <t>대표 / 파트너 / 투자위원회</t>
        </is>
      </c>
    </row>
    <row r="9" ht="22" customHeight="1">
      <c r="A9" s="46" t="inlineStr">
        <is>
          <t>대표 보고용 1페이지 대시보드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8" t="n"/>
    </row>
    <row r="10" ht="22" customHeight="1"/>
    <row r="11" ht="22" customHeight="1">
      <c r="A11" s="29" t="inlineStr">
        <is>
          <t>1. 팀별 점수 요약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8" t="n"/>
    </row>
    <row r="12" ht="22" customHeight="1">
      <c r="A12" s="9" t="inlineStr">
        <is>
          <t>팀</t>
        </is>
      </c>
      <c r="B12" s="9" t="inlineStr">
        <is>
          <t>월간 점수</t>
        </is>
      </c>
      <c r="C12" s="9" t="inlineStr">
        <is>
          <t>월간 등급</t>
        </is>
      </c>
      <c r="D12" s="9" t="inlineStr">
        <is>
          <t>분기 점수</t>
        </is>
      </c>
      <c r="E12" s="9" t="inlineStr">
        <is>
          <t>분기 등급</t>
        </is>
      </c>
      <c r="H12" s="9" t="inlineStr">
        <is>
          <t>팀</t>
        </is>
      </c>
      <c r="I12" s="9" t="inlineStr">
        <is>
          <t>월간 점수</t>
        </is>
      </c>
      <c r="J12" s="9" t="inlineStr">
        <is>
          <t>월간 등급</t>
        </is>
      </c>
      <c r="K12" s="9" t="inlineStr">
        <is>
          <t>분기 점수</t>
        </is>
      </c>
      <c r="L12" s="9" t="inlineStr">
        <is>
          <t>분기 등급</t>
        </is>
      </c>
    </row>
    <row r="13" ht="22" customHeight="1">
      <c r="A13" s="30" t="inlineStr">
        <is>
          <t>Sourcing</t>
        </is>
      </c>
      <c r="B13" s="31">
        <f>'Summary!C6'</f>
        <v/>
      </c>
      <c r="C13" s="32">
        <f>'Summary!D6'</f>
        <v/>
      </c>
      <c r="D13" s="31">
        <f>'Summary!H6'</f>
        <v/>
      </c>
      <c r="E13" s="32">
        <f>'Summary!I6'</f>
        <v/>
      </c>
      <c r="H13" s="30" t="inlineStr">
        <is>
          <t>OpenInnovation</t>
        </is>
      </c>
      <c r="I13" s="31">
        <f>'Summary!C9'</f>
        <v/>
      </c>
      <c r="J13" s="32">
        <f>'Summary!D9'</f>
        <v/>
      </c>
      <c r="K13" s="31">
        <f>'Summary!H9'</f>
        <v/>
      </c>
      <c r="L13" s="32">
        <f>'Summary!I9'</f>
        <v/>
      </c>
    </row>
    <row r="14" ht="22" customHeight="1">
      <c r="A14" s="30" t="inlineStr">
        <is>
          <t>Investment</t>
        </is>
      </c>
      <c r="B14" s="31">
        <f>'Summary!C7'</f>
        <v/>
      </c>
      <c r="C14" s="32">
        <f>'Summary!D7'</f>
        <v/>
      </c>
      <c r="D14" s="31">
        <f>'Summary!H7'</f>
        <v/>
      </c>
      <c r="E14" s="32">
        <f>'Summary!I7'</f>
        <v/>
      </c>
      <c r="H14" s="30" t="inlineStr">
        <is>
          <t>Operations</t>
        </is>
      </c>
      <c r="I14" s="31">
        <f>'Summary!C10'</f>
        <v/>
      </c>
      <c r="J14" s="32">
        <f>'Summary!D10'</f>
        <v/>
      </c>
      <c r="K14" s="31">
        <f>'Summary!H10'</f>
        <v/>
      </c>
      <c r="L14" s="32">
        <f>'Summary!I10'</f>
        <v/>
      </c>
    </row>
    <row r="15" ht="22" customHeight="1">
      <c r="A15" s="30" t="inlineStr">
        <is>
          <t>Program</t>
        </is>
      </c>
      <c r="B15" s="31">
        <f>'Summary!C8'</f>
        <v/>
      </c>
      <c r="C15" s="32">
        <f>'Summary!D8'</f>
        <v/>
      </c>
      <c r="D15" s="31">
        <f>'Summary!H8'</f>
        <v/>
      </c>
      <c r="E15" s="32">
        <f>'Summary!I8'</f>
        <v/>
      </c>
      <c r="H15" s="30" t="inlineStr">
        <is>
          <t>Link</t>
        </is>
      </c>
      <c r="I15" s="31">
        <f>'Summary!C11'</f>
        <v/>
      </c>
      <c r="J15" s="32">
        <f>'Summary!D11'</f>
        <v/>
      </c>
      <c r="K15" s="31">
        <f>'Summary!H11'</f>
        <v/>
      </c>
      <c r="L15" s="32">
        <f>'Summary!I11'</f>
        <v/>
      </c>
    </row>
    <row r="16" ht="22" customHeight="1"/>
    <row r="17" ht="22" customHeight="1"/>
    <row r="18" ht="32" customHeight="1">
      <c r="A18" s="8" t="inlineStr">
        <is>
          <t>2. 팀 간 전환 KPI 요약</t>
        </is>
      </c>
      <c r="B18" s="37" t="n"/>
      <c r="C18" s="37" t="n"/>
      <c r="D18" s="37" t="n"/>
      <c r="E18" s="37" t="n"/>
      <c r="F18" s="38" t="n"/>
      <c r="H18" s="8" t="inlineStr">
        <is>
          <t>3. 핵심 경고항목</t>
        </is>
      </c>
      <c r="I18" s="37" t="n"/>
      <c r="J18" s="37" t="n"/>
      <c r="K18" s="37" t="n"/>
      <c r="L18" s="37" t="n"/>
      <c r="M18" s="38" t="n"/>
    </row>
    <row r="19" ht="22" customHeight="1">
      <c r="A19" s="9" t="inlineStr">
        <is>
          <t>구간</t>
        </is>
      </c>
      <c r="B19" s="9" t="inlineStr">
        <is>
          <t>월간 점수</t>
        </is>
      </c>
      <c r="C19" s="9" t="inlineStr">
        <is>
          <t>월간 등급</t>
        </is>
      </c>
      <c r="D19" s="9" t="inlineStr">
        <is>
          <t>분기 점수</t>
        </is>
      </c>
      <c r="E19" s="9" t="inlineStr">
        <is>
          <t>분기 등급</t>
        </is>
      </c>
      <c r="F19" s="9" t="inlineStr">
        <is>
          <t>코멘트</t>
        </is>
      </c>
      <c r="H19" s="9" t="inlineStr">
        <is>
          <t>구분</t>
        </is>
      </c>
      <c r="I19" s="9" t="inlineStr">
        <is>
          <t>경고조건</t>
        </is>
      </c>
      <c r="J19" s="9" t="inlineStr">
        <is>
          <t>현재상태</t>
        </is>
      </c>
      <c r="K19" s="9" t="inlineStr">
        <is>
          <t>조치</t>
        </is>
      </c>
    </row>
    <row r="20" ht="22" customHeight="1">
      <c r="A20" s="30" t="inlineStr">
        <is>
          <t>연계 KPI 종합</t>
        </is>
      </c>
      <c r="B20" s="31">
        <f>'Summary'!C11</f>
        <v/>
      </c>
      <c r="C20" s="32">
        <f>'Summary'!D11</f>
        <v/>
      </c>
      <c r="D20" s="31">
        <f>'Summary'!H11</f>
        <v/>
      </c>
      <c r="E20" s="32">
        <f>'Summary'!I11</f>
        <v/>
      </c>
      <c r="F20" s="33" t="inlineStr"/>
      <c r="H20" s="3" t="inlineStr">
        <is>
          <t>월간 등급 C/D 존재</t>
        </is>
      </c>
      <c r="I20" s="33">
        <f>"체크"</f>
        <v/>
      </c>
      <c r="J20" s="33" t="inlineStr"/>
      <c r="K20" s="33" t="inlineStr"/>
    </row>
    <row r="21" ht="22" customHeight="1">
      <c r="H21" s="3" t="inlineStr">
        <is>
          <t>분기 등급 C/D 존재</t>
        </is>
      </c>
      <c r="I21" s="33">
        <f>"체크"</f>
        <v/>
      </c>
      <c r="J21" s="33" t="inlineStr"/>
      <c r="K21" s="33" t="inlineStr"/>
    </row>
    <row r="22" ht="22" customHeight="1">
      <c r="H22" s="3" t="inlineStr">
        <is>
          <t>Link 등급 C/D</t>
        </is>
      </c>
      <c r="I22" s="33">
        <f>"체크"</f>
        <v/>
      </c>
      <c r="J22" s="33" t="inlineStr"/>
      <c r="K22" s="33" t="inlineStr"/>
    </row>
    <row r="23" ht="22" customHeight="1">
      <c r="A23" s="29" t="inlineStr">
        <is>
          <t>4. 대표가 먼저 볼 핵심 숫자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8" t="n"/>
    </row>
    <row r="24" ht="22" customHeight="1">
      <c r="A24" s="34" t="inlineStr">
        <is>
          <t>최고 월간 점수</t>
        </is>
      </c>
      <c r="B24" s="37" t="n"/>
      <c r="C24" s="38" t="n"/>
      <c r="D24" s="34" t="inlineStr">
        <is>
          <t>최저 월간 점수</t>
        </is>
      </c>
      <c r="E24" s="37" t="n"/>
      <c r="F24" s="38" t="n"/>
      <c r="H24" s="34" t="inlineStr">
        <is>
          <t>최고 분기 점수</t>
        </is>
      </c>
      <c r="I24" s="37" t="n"/>
      <c r="J24" s="38" t="n"/>
      <c r="K24" s="34" t="inlineStr">
        <is>
          <t>최저 분기 점수</t>
        </is>
      </c>
      <c r="L24" s="37" t="n"/>
      <c r="M24" s="38" t="n"/>
    </row>
    <row r="25" ht="22" customHeight="1">
      <c r="A25" s="35">
        <f>MAX(Summary!C6:Summary!C11)</f>
        <v/>
      </c>
      <c r="B25" s="39" t="n"/>
      <c r="C25" s="40" t="n"/>
      <c r="D25" s="35">
        <f>MIN(Summary!C6:Summary!C11)</f>
        <v/>
      </c>
      <c r="E25" s="39" t="n"/>
      <c r="F25" s="40" t="n"/>
      <c r="H25" s="35">
        <f>MAX(Summary!H6:Summary!H11)</f>
        <v/>
      </c>
      <c r="I25" s="39" t="n"/>
      <c r="J25" s="40" t="n"/>
      <c r="K25" s="35">
        <f>MIN(Summary!H6:Summary!H11)</f>
        <v/>
      </c>
      <c r="L25" s="39" t="n"/>
      <c r="M25" s="40" t="n"/>
    </row>
    <row r="26" ht="22" customHeight="1">
      <c r="A26" s="43" t="n"/>
      <c r="B26" s="44" t="n"/>
      <c r="C26" s="45" t="n"/>
      <c r="D26" s="43" t="n"/>
      <c r="E26" s="44" t="n"/>
      <c r="F26" s="45" t="n"/>
      <c r="H26" s="43" t="n"/>
      <c r="I26" s="44" t="n"/>
      <c r="J26" s="45" t="n"/>
      <c r="K26" s="43" t="n"/>
      <c r="L26" s="44" t="n"/>
      <c r="M26" s="45" t="n"/>
    </row>
    <row r="27" ht="22" customHeight="1"/>
    <row r="28" ht="22" customHeight="1">
      <c r="A28" s="8" t="inlineStr">
        <is>
          <t>5. 대표 메모</t>
        </is>
      </c>
      <c r="B28" s="37" t="n"/>
      <c r="C28" s="37" t="n"/>
      <c r="D28" s="37" t="n"/>
      <c r="E28" s="37" t="n"/>
      <c r="F28" s="38" t="n"/>
      <c r="H28" s="8" t="inlineStr">
        <is>
          <t>6. 다음 달 우선 의사결정</t>
        </is>
      </c>
      <c r="I28" s="37" t="n"/>
      <c r="J28" s="37" t="n"/>
      <c r="K28" s="37" t="n"/>
      <c r="L28" s="37" t="n"/>
      <c r="M28" s="38" t="n"/>
    </row>
    <row r="29" ht="22" customHeight="1">
      <c r="A29" s="36" t="inlineStr"/>
      <c r="B29" s="39" t="n"/>
      <c r="C29" s="39" t="n"/>
      <c r="D29" s="39" t="n"/>
      <c r="E29" s="39" t="n"/>
      <c r="F29" s="40" t="n"/>
      <c r="H29" s="36" t="inlineStr"/>
      <c r="I29" s="39" t="n"/>
      <c r="J29" s="39" t="n"/>
      <c r="K29" s="39" t="n"/>
      <c r="L29" s="39" t="n"/>
      <c r="M29" s="40" t="n"/>
    </row>
    <row r="30" ht="22" customHeight="1">
      <c r="A30" s="41" t="n"/>
      <c r="F30" s="42" t="n"/>
      <c r="H30" s="41" t="n"/>
      <c r="M30" s="42" t="n"/>
    </row>
    <row r="31" ht="34" customHeight="1">
      <c r="A31" s="41" t="n"/>
      <c r="F31" s="42" t="n"/>
      <c r="H31" s="41" t="n"/>
      <c r="M31" s="42" t="n"/>
    </row>
    <row r="32" ht="22" customHeight="1">
      <c r="A32" s="41" t="n"/>
      <c r="F32" s="42" t="n"/>
      <c r="H32" s="41" t="n"/>
      <c r="M32" s="42" t="n"/>
    </row>
    <row r="33" ht="22" customHeight="1">
      <c r="A33" s="41" t="n"/>
      <c r="F33" s="42" t="n"/>
      <c r="H33" s="41" t="n"/>
      <c r="M33" s="42" t="n"/>
    </row>
    <row r="34" ht="22" customHeight="1">
      <c r="A34" s="43" t="n"/>
      <c r="B34" s="44" t="n"/>
      <c r="C34" s="44" t="n"/>
      <c r="D34" s="44" t="n"/>
      <c r="E34" s="44" t="n"/>
      <c r="F34" s="45" t="n"/>
      <c r="H34" s="43" t="n"/>
      <c r="I34" s="44" t="n"/>
      <c r="J34" s="44" t="n"/>
      <c r="K34" s="44" t="n"/>
      <c r="L34" s="44" t="n"/>
      <c r="M34" s="45" t="n"/>
    </row>
    <row r="35" ht="22" customHeight="1"/>
    <row r="36" ht="22" customHeight="1">
      <c r="A36" s="29" t="inlineStr">
        <is>
          <t>7. 해석 기준</t>
        </is>
      </c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8" t="n"/>
    </row>
    <row r="37" ht="22" customHeight="1">
      <c r="A37" s="3" t="inlineStr">
        <is>
          <t>등급 기준</t>
        </is>
      </c>
      <c r="B37" s="30" t="inlineStr">
        <is>
          <t>S 95+ / A 90~94 / B 80~89 / C 70~79 / D 69 이하</t>
        </is>
      </c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8" t="n"/>
    </row>
    <row r="38" ht="22" customHeight="1">
      <c r="A38" s="3" t="inlineStr">
        <is>
          <t>경고 기준</t>
        </is>
      </c>
      <c r="B38" s="30" t="inlineStr">
        <is>
          <t>월간·분기 C/D 또는 Link C/D면 대표 개입 검토</t>
        </is>
      </c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8" t="n"/>
    </row>
    <row r="39" ht="22" customHeight="1">
      <c r="A39" s="3" t="inlineStr">
        <is>
          <t>핵심 포인트</t>
        </is>
      </c>
      <c r="B39" s="30" t="inlineStr">
        <is>
          <t>TRL, PoC, TIPS, CVC 병목이 동시에 생기면 구조적 문제 가능성</t>
        </is>
      </c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8" t="n"/>
    </row>
    <row r="40" ht="22" customHeight="1"/>
    <row r="41" ht="22" customHeight="1"/>
  </sheetData>
  <mergeCells count="22">
    <mergeCell ref="D20:F21"/>
    <mergeCell ref="H20:J21"/>
    <mergeCell ref="K8:M8"/>
    <mergeCell ref="B34:M34"/>
    <mergeCell ref="H24:M29"/>
    <mergeCell ref="K20:M21"/>
    <mergeCell ref="A31:M31"/>
    <mergeCell ref="H19:J19"/>
    <mergeCell ref="A23:F23"/>
    <mergeCell ref="A9:M9"/>
    <mergeCell ref="H13:M13"/>
    <mergeCell ref="A24:F29"/>
    <mergeCell ref="A19:C19"/>
    <mergeCell ref="K19:M19"/>
    <mergeCell ref="B33:M33"/>
    <mergeCell ref="A13:F13"/>
    <mergeCell ref="A6:M6"/>
    <mergeCell ref="H23:M23"/>
    <mergeCell ref="B32:M32"/>
    <mergeCell ref="D19:F19"/>
    <mergeCell ref="A18:M18"/>
    <mergeCell ref="A20:C21"/>
  </mergeCells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반도체·모빌리티 특화 액셀러레이터 KPI 평가표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월간/분기 팀별 평가 + 연계 KPI + 상위 요약표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회사명</t>
        </is>
      </c>
      <c r="B4" s="4" t="inlineStr">
        <is>
          <t>Your Company</t>
        </is>
      </c>
      <c r="C4" s="3" t="inlineStr">
        <is>
          <t>문서번호</t>
        </is>
      </c>
      <c r="D4" s="4" t="inlineStr">
        <is>
          <t>KPI-DT-2026-001</t>
        </is>
      </c>
      <c r="E4" s="3" t="inlineStr">
        <is>
          <t>버전</t>
        </is>
      </c>
      <c r="F4" s="4" t="inlineStr">
        <is>
          <t>v1.0</t>
        </is>
      </c>
      <c r="G4" s="3" t="inlineStr">
        <is>
          <t>보안등급</t>
        </is>
      </c>
      <c r="H4" s="4" t="inlineStr">
        <is>
          <t>Internal</t>
        </is>
      </c>
    </row>
    <row r="8">
      <c r="A8" s="5" t="inlineStr">
        <is>
          <t>사용 안내</t>
        </is>
      </c>
    </row>
    <row r="9">
      <c r="A9" s="6" t="inlineStr">
        <is>
          <t>입력 셀</t>
        </is>
      </c>
      <c r="B9" s="7" t="inlineStr">
        <is>
          <t>노란 배경 / 파란 글씨</t>
        </is>
      </c>
      <c r="C9" s="37" t="n"/>
      <c r="D9" s="37" t="n"/>
      <c r="E9" s="37" t="n"/>
      <c r="F9" s="38" t="n"/>
    </row>
    <row r="10">
      <c r="A10" s="6" t="inlineStr">
        <is>
          <t>수식 셀</t>
        </is>
      </c>
      <c r="B10" s="7" t="inlineStr">
        <is>
          <t>흰 배경 / 검은 글씨</t>
        </is>
      </c>
      <c r="C10" s="37" t="n"/>
      <c r="D10" s="37" t="n"/>
      <c r="E10" s="37" t="n"/>
      <c r="F10" s="38" t="n"/>
    </row>
    <row r="11">
      <c r="A11" s="6" t="inlineStr">
        <is>
          <t>달성률</t>
        </is>
      </c>
      <c r="B11" s="7" t="inlineStr">
        <is>
          <t>실적÷목표, 최대 120% 캡</t>
        </is>
      </c>
      <c r="C11" s="37" t="n"/>
      <c r="D11" s="37" t="n"/>
      <c r="E11" s="37" t="n"/>
      <c r="F11" s="38" t="n"/>
    </row>
    <row r="12">
      <c r="A12" s="6" t="inlineStr">
        <is>
          <t>총점</t>
        </is>
      </c>
      <c r="B12" s="7" t="inlineStr">
        <is>
          <t>환산점수 합계</t>
        </is>
      </c>
      <c r="C12" s="37" t="n"/>
      <c r="D12" s="37" t="n"/>
      <c r="E12" s="37" t="n"/>
      <c r="F12" s="38" t="n"/>
    </row>
    <row r="13">
      <c r="A13" s="6" t="inlineStr">
        <is>
          <t>등급</t>
        </is>
      </c>
      <c r="B13" s="7" t="inlineStr">
        <is>
          <t>S/A/B/C/D 자동 계산</t>
        </is>
      </c>
      <c r="C13" s="37" t="n"/>
      <c r="D13" s="37" t="n"/>
      <c r="E13" s="37" t="n"/>
      <c r="F13" s="38" t="n"/>
    </row>
    <row r="14">
      <c r="A14" s="6" t="inlineStr">
        <is>
          <t>권장 사용법</t>
        </is>
      </c>
      <c r="B14" s="7" t="inlineStr">
        <is>
          <t>월말 팀별 평가 입력 → 분기말 누적 검토 → Summary 시트 확인</t>
        </is>
      </c>
      <c r="C14" s="37" t="n"/>
      <c r="D14" s="37" t="n"/>
      <c r="E14" s="37" t="n"/>
      <c r="F14" s="38" t="n"/>
    </row>
  </sheetData>
  <mergeCells count="8">
    <mergeCell ref="A1:J1"/>
    <mergeCell ref="B12:F12"/>
    <mergeCell ref="B10:F10"/>
    <mergeCell ref="B11:F11"/>
    <mergeCell ref="B14:F14"/>
    <mergeCell ref="A2:J2"/>
    <mergeCell ref="B9:F9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Sourcing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Sourcing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Sourcing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리드 수</t>
        </is>
      </c>
      <c r="C8" s="12" t="n">
        <v>80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반도체·모빌리티 전략산업 리드 비율</t>
        </is>
      </c>
      <c r="C9" s="18" t="n">
        <v>0.6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Input</t>
        </is>
      </c>
      <c r="B10" s="11" t="inlineStr">
        <is>
          <t>연구소/대학/기술지주 기반 유입 수</t>
        </is>
      </c>
      <c r="C10" s="12" t="n">
        <v>12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Input</t>
        </is>
      </c>
      <c r="B11" s="11" t="inlineStr">
        <is>
          <t>추천채널 유입 수</t>
        </is>
      </c>
      <c r="C11" s="12" t="n">
        <v>15</v>
      </c>
      <c r="D11" s="12" t="inlineStr"/>
      <c r="E11" s="13">
        <f>IFERROR(IF(OR(C11="",D11=""),"",MIN(D11/C11,1.2)), "")</f>
        <v/>
      </c>
      <c r="F11" s="14" t="n">
        <v>7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1차 미팅 완료율</t>
        </is>
      </c>
      <c r="C12" s="18" t="n">
        <v>0.5</v>
      </c>
      <c r="D12" s="12" t="inlineStr"/>
      <c r="E12" s="13">
        <f>IFERROR(IF(OR(C12="",D12=""),"",MIN(D12/C12,1.2)), "")</f>
        <v/>
      </c>
      <c r="F12" s="14" t="n">
        <v>7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기술창업형 초기 분류 정확도</t>
        </is>
      </c>
      <c r="C13" s="18" t="n">
        <v>0.9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Process</t>
        </is>
      </c>
      <c r="B14" s="11" t="inlineStr">
        <is>
          <t>CRM 입력 완결률</t>
        </is>
      </c>
      <c r="C14" s="18" t="n">
        <v>1</v>
      </c>
      <c r="D14" s="12" t="inlineStr"/>
      <c r="E14" s="13">
        <f>IFERROR(IF(OR(C14="",D14=""),"",MIN(D14/C14,1.2)), "")</f>
        <v/>
      </c>
      <c r="F14" s="14" t="n">
        <v>5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심사팀 인계 건수</t>
        </is>
      </c>
      <c r="C15" s="12" t="n">
        <v>20</v>
      </c>
      <c r="D15" s="12" t="inlineStr"/>
      <c r="E15" s="13">
        <f>IFERROR(IF(OR(C15="",D15=""),"",MIN(D15/C15,1.2)), "")</f>
        <v/>
      </c>
      <c r="F15" s="14" t="n">
        <v>7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기술검증 필요 딜 인계 비율</t>
        </is>
      </c>
      <c r="C16" s="18" t="n">
        <v>0.7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TIPS 잠재후보 태깅률</t>
        </is>
      </c>
      <c r="C17" s="18" t="n">
        <v>0.5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심사 전환율</t>
        </is>
      </c>
      <c r="C18" s="18" t="n">
        <v>0.7</v>
      </c>
      <c r="D18" s="12" t="inlineStr"/>
      <c r="E18" s="13">
        <f>IFERROR(IF(OR(C18="",D18=""),"",MIN(D18/C18,1.2)), "")</f>
        <v/>
      </c>
      <c r="F18" s="14" t="n">
        <v>8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투자 전환 기여율</t>
        </is>
      </c>
      <c r="C19" s="18" t="n">
        <v>0.12</v>
      </c>
      <c r="D19" s="12" t="inlineStr"/>
      <c r="E19" s="13">
        <f>IFERROR(IF(OR(C19="",D19=""),"",MIN(D19/C19,1.2)), "")</f>
        <v/>
      </c>
      <c r="F19" s="14" t="n">
        <v>7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전략산업 포트 편입 기여율</t>
        </is>
      </c>
      <c r="C20" s="18" t="n">
        <v>0.7</v>
      </c>
      <c r="D20" s="12" t="inlineStr"/>
      <c r="E20" s="13">
        <f>IFERROR(IF(OR(C20="",D20=""),"",MIN(D20/C20,1.2)), "")</f>
        <v/>
      </c>
      <c r="F20" s="14" t="n">
        <v>5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9" t="inlineStr">
        <is>
          <t>총점</t>
        </is>
      </c>
      <c r="B21" s="19" t="inlineStr">
        <is>
          <t>환산점수 합계</t>
        </is>
      </c>
      <c r="C21" s="37" t="n"/>
      <c r="D21" s="37" t="n"/>
      <c r="E21" s="37" t="n"/>
      <c r="F21" s="38" t="n"/>
      <c r="G21" s="20">
        <f>SUM(G8:G20)</f>
        <v/>
      </c>
      <c r="H21" s="21">
        <f>IF(G21&gt;=95,"S",IF(G21&gt;=90,"A",IF(G21&gt;=80,"B",IF(G21&gt;=70,"C","D"))))</f>
        <v/>
      </c>
      <c r="I21" s="22" t="n"/>
    </row>
    <row r="23" ht="34" customHeight="1">
      <c r="A23" s="6" t="inlineStr">
        <is>
          <t>이번 달 가장 잘한 점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이번 달 가장 부족한 점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다음 달 보완 우선순위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리스크 및 지원 요청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</sheetData>
  <mergeCells count="12">
    <mergeCell ref="B21:F21"/>
    <mergeCell ref="A1:J1"/>
    <mergeCell ref="A26:B26"/>
    <mergeCell ref="A24:B24"/>
    <mergeCell ref="C23:I23"/>
    <mergeCell ref="A25:B25"/>
    <mergeCell ref="C26:I26"/>
    <mergeCell ref="A2:J2"/>
    <mergeCell ref="C24:I24"/>
    <mergeCell ref="A6:I6"/>
    <mergeCell ref="A23:B23"/>
    <mergeCell ref="C25:I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Sourcing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Sourcing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Sourcing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누적 신규 리드 수</t>
        </is>
      </c>
      <c r="C8" s="12" t="n">
        <v>240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전략산업 리드 비율</t>
        </is>
      </c>
      <c r="C9" s="18" t="n">
        <v>0.6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Input</t>
        </is>
      </c>
      <c r="B10" s="11" t="inlineStr">
        <is>
          <t>기술특화 유입 채널 수</t>
        </is>
      </c>
      <c r="C10" s="12" t="n">
        <v>10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기술창업 분류 정확도</t>
        </is>
      </c>
      <c r="C11" s="18" t="n">
        <v>0.9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기술검증 인계 건수</t>
        </is>
      </c>
      <c r="C12" s="12" t="n">
        <v>30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TIPS 잠재후보 인계 수</t>
        </is>
      </c>
      <c r="C13" s="12" t="n">
        <v>10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Outcome</t>
        </is>
      </c>
      <c r="B14" s="11" t="inlineStr">
        <is>
          <t>심사 전환율</t>
        </is>
      </c>
      <c r="C14" s="18" t="n">
        <v>0.7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투자 전환율</t>
        </is>
      </c>
      <c r="C15" s="18" t="n">
        <v>0.12</v>
      </c>
      <c r="D15" s="12" t="inlineStr"/>
      <c r="E15" s="13">
        <f>IFERROR(IF(OR(C15="",D15=""),"",MIN(D15/C15,1.2)), "")</f>
        <v/>
      </c>
      <c r="F15" s="14" t="n">
        <v>15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전략산업 포트 편입 기여율</t>
        </is>
      </c>
      <c r="C16" s="18" t="n">
        <v>0.7</v>
      </c>
      <c r="D16" s="12" t="inlineStr"/>
      <c r="E16" s="13">
        <f>IFERROR(IF(OR(C16="",D16=""),"",MIN(D16/C16,1.2)), "")</f>
        <v/>
      </c>
      <c r="F16" s="14" t="n">
        <v>15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9" t="inlineStr">
        <is>
          <t>총점</t>
        </is>
      </c>
      <c r="B17" s="19" t="inlineStr">
        <is>
          <t>환산점수 합계</t>
        </is>
      </c>
      <c r="C17" s="37" t="n"/>
      <c r="D17" s="37" t="n"/>
      <c r="E17" s="37" t="n"/>
      <c r="F17" s="38" t="n"/>
      <c r="G17" s="20">
        <f>SUM(G8:G16)</f>
        <v/>
      </c>
      <c r="H17" s="21">
        <f>IF(G17&gt;=95,"S",IF(G17&gt;=90,"A",IF(G17&gt;=80,"B",IF(G17&gt;=70,"C","D"))))</f>
        <v/>
      </c>
      <c r="I17" s="22" t="n"/>
    </row>
    <row r="19" ht="34" customHeight="1">
      <c r="A19" s="6" t="inlineStr">
        <is>
          <t>핵심 성과</t>
        </is>
      </c>
      <c r="B19" s="38" t="n"/>
      <c r="C19" s="23" t="inlineStr"/>
      <c r="D19" s="37" t="n"/>
      <c r="E19" s="37" t="n"/>
      <c r="F19" s="37" t="n"/>
      <c r="G19" s="37" t="n"/>
      <c r="H19" s="37" t="n"/>
      <c r="I19" s="38" t="n"/>
    </row>
    <row r="20" ht="34" customHeight="1">
      <c r="A20" s="6" t="inlineStr">
        <is>
          <t>핵심 미달 항목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전분기 대비 개선사항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다음 분기 전략과제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인사/보상 반영 의견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</sheetData>
  <mergeCells count="14">
    <mergeCell ref="A1:J1"/>
    <mergeCell ref="A21:B21"/>
    <mergeCell ref="A20:B20"/>
    <mergeCell ref="C22:I22"/>
    <mergeCell ref="C23:I23"/>
    <mergeCell ref="A22:B22"/>
    <mergeCell ref="A19:B19"/>
    <mergeCell ref="C21:I21"/>
    <mergeCell ref="A23:B23"/>
    <mergeCell ref="C20:I20"/>
    <mergeCell ref="A6:I6"/>
    <mergeCell ref="A2:J2"/>
    <mergeCell ref="B17:F17"/>
    <mergeCell ref="C19:I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Investment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Investment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Investment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평균 심사 소요일</t>
        </is>
      </c>
      <c r="C8" s="12" t="n">
        <v>21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착수율</t>
        </is>
      </c>
      <c r="C9" s="18" t="n">
        <v>0.9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DD 자료 회수율</t>
        </is>
      </c>
      <c r="C10" s="18" t="n">
        <v>0.95</v>
      </c>
      <c r="D10" s="12" t="inlineStr"/>
      <c r="E10" s="13">
        <f>IFERROR(IF(OR(C10="",D10=""),"",MIN(D10/C10,1.2)), "")</f>
        <v/>
      </c>
      <c r="F10" s="14" t="n">
        <v>5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투자메모 완결률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5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TRL 판정 완료율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TIPS 적합성 예비판단률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심층심사 착수 건수</t>
        </is>
      </c>
      <c r="C14" s="12" t="n">
        <v>15</v>
      </c>
      <c r="D14" s="12" t="inlineStr"/>
      <c r="E14" s="13">
        <f>IFERROR(IF(OR(C14="",D14=""),"",MIN(D14/C14,1.2)), "")</f>
        <v/>
      </c>
      <c r="F14" s="14" t="n">
        <v>6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기술검증 완료 건수</t>
        </is>
      </c>
      <c r="C15" s="12" t="n">
        <v>8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IC 상정 건수</t>
        </is>
      </c>
      <c r="C16" s="12" t="n">
        <v>8</v>
      </c>
      <c r="D16" s="12" t="inlineStr"/>
      <c r="E16" s="13">
        <f>IFERROR(IF(OR(C16="",D16=""),"",MIN(D16/C16,1.2)), "")</f>
        <v/>
      </c>
      <c r="F16" s="14" t="n">
        <v>6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TIPS 후보 판정 건수</t>
        </is>
      </c>
      <c r="C17" s="12" t="n">
        <v>4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IC 승인율</t>
        </is>
      </c>
      <c r="C18" s="18" t="n">
        <v>0.55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클로징 성공률</t>
        </is>
      </c>
      <c r="C19" s="18" t="n">
        <v>0.88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PoC 우선 전환 판정 적합률</t>
        </is>
      </c>
      <c r="C20" s="18" t="n">
        <v>0.7</v>
      </c>
      <c r="D20" s="12" t="inlineStr"/>
      <c r="E20" s="13">
        <f>IFERROR(IF(OR(C20="",D20=""),"",MIN(D20/C20,1.2)), "")</f>
        <v/>
      </c>
      <c r="F20" s="14" t="n">
        <v>6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CVC 적합 딜 식별률</t>
        </is>
      </c>
      <c r="C21" s="18" t="n">
        <v>0.5</v>
      </c>
      <c r="D21" s="12" t="inlineStr"/>
      <c r="E21" s="13">
        <f>IFERROR(IF(OR(C21="",D21=""),"",MIN(D21/C21,1.2)), "")</f>
        <v/>
      </c>
      <c r="F21" s="14" t="n">
        <v>4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0" t="inlineStr">
        <is>
          <t>Outcome</t>
        </is>
      </c>
      <c r="B22" s="11" t="inlineStr">
        <is>
          <t>TIPS 추천 가능성 높은 딜 비율</t>
        </is>
      </c>
      <c r="C22" s="18" t="n">
        <v>0.28</v>
      </c>
      <c r="D22" s="12" t="inlineStr"/>
      <c r="E22" s="13">
        <f>IFERROR(IF(OR(C22="",D22=""),"",MIN(D22/C22,1.2)), "")</f>
        <v/>
      </c>
      <c r="F22" s="14" t="n">
        <v>4</v>
      </c>
      <c r="G22" s="15">
        <f>IFERROR(E22*F22,"")</f>
        <v/>
      </c>
      <c r="H22" s="16">
        <f>IF(E22="","",IF(E22&gt;=1,"양호",IF(E22&gt;=0.9,"양호",IF(E22&gt;=0.7,"주의","위험"))))</f>
        <v/>
      </c>
      <c r="I22" s="17" t="inlineStr"/>
    </row>
    <row r="23">
      <c r="A23" s="19" t="inlineStr">
        <is>
          <t>총점</t>
        </is>
      </c>
      <c r="B23" s="19" t="inlineStr">
        <is>
          <t>환산점수 합계</t>
        </is>
      </c>
      <c r="C23" s="37" t="n"/>
      <c r="D23" s="37" t="n"/>
      <c r="E23" s="37" t="n"/>
      <c r="F23" s="38" t="n"/>
      <c r="G23" s="20">
        <f>SUM(G8:G22)</f>
        <v/>
      </c>
      <c r="H23" s="21">
        <f>IF(G23&gt;=95,"S",IF(G23&gt;=90,"A",IF(G23&gt;=80,"B",IF(G23&gt;=70,"C","D"))))</f>
        <v/>
      </c>
      <c r="I23" s="22" t="n"/>
    </row>
    <row r="25" ht="34" customHeight="1">
      <c r="A25" s="6" t="inlineStr">
        <is>
          <t>이번 달 가장 잘한 점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이번 달 가장 부족한 점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  <row r="27" ht="34" customHeight="1">
      <c r="A27" s="6" t="inlineStr">
        <is>
          <t>다음 달 보완 우선순위</t>
        </is>
      </c>
      <c r="B27" s="38" t="n"/>
      <c r="C27" s="23" t="inlineStr"/>
      <c r="D27" s="37" t="n"/>
      <c r="E27" s="37" t="n"/>
      <c r="F27" s="37" t="n"/>
      <c r="G27" s="37" t="n"/>
      <c r="H27" s="37" t="n"/>
      <c r="I27" s="38" t="n"/>
    </row>
    <row r="28" ht="34" customHeight="1">
      <c r="A28" s="6" t="inlineStr">
        <is>
          <t>리스크 및 지원 요청</t>
        </is>
      </c>
      <c r="B28" s="38" t="n"/>
      <c r="C28" s="23" t="inlineStr"/>
      <c r="D28" s="37" t="n"/>
      <c r="E28" s="37" t="n"/>
      <c r="F28" s="37" t="n"/>
      <c r="G28" s="37" t="n"/>
      <c r="H28" s="37" t="n"/>
      <c r="I28" s="38" t="n"/>
    </row>
  </sheetData>
  <mergeCells count="12">
    <mergeCell ref="C28:I28"/>
    <mergeCell ref="A1:J1"/>
    <mergeCell ref="A26:B26"/>
    <mergeCell ref="A25:B25"/>
    <mergeCell ref="C26:I26"/>
    <mergeCell ref="A28:B28"/>
    <mergeCell ref="B23:F23"/>
    <mergeCell ref="A6:I6"/>
    <mergeCell ref="A2:J2"/>
    <mergeCell ref="A27:B27"/>
    <mergeCell ref="C25:I25"/>
    <mergeCell ref="C27:I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Investment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Investment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Investment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평균 심사 소요일</t>
        </is>
      </c>
      <c r="C8" s="12" t="n">
        <v>21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완료율</t>
        </is>
      </c>
      <c r="C9" s="18" t="n">
        <v>0.9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TRL 판정 완결률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TIPS 예비판단률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8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심층심사 누적 건수</t>
        </is>
      </c>
      <c r="C12" s="12" t="n">
        <v>45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기술검증 완료 건수</t>
        </is>
      </c>
      <c r="C13" s="12" t="n">
        <v>20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TIPS 후보 판정 건수</t>
        </is>
      </c>
      <c r="C14" s="12" t="n">
        <v>10</v>
      </c>
      <c r="D14" s="12" t="inlineStr"/>
      <c r="E14" s="13">
        <f>IFERROR(IF(OR(C14="",D14=""),"",MIN(D14/C14,1.2)), "")</f>
        <v/>
      </c>
      <c r="F14" s="14" t="n">
        <v>8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IC 승인율</t>
        </is>
      </c>
      <c r="C15" s="18" t="n">
        <v>0.55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클로징 성공률</t>
        </is>
      </c>
      <c r="C16" s="18" t="n">
        <v>0.88</v>
      </c>
      <c r="D16" s="12" t="inlineStr"/>
      <c r="E16" s="13">
        <f>IFERROR(IF(OR(C16="",D16=""),"",MIN(D16/C16,1.2)), "")</f>
        <v/>
      </c>
      <c r="F16" s="14" t="n">
        <v>12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PoC 우선 전환 적합률</t>
        </is>
      </c>
      <c r="C17" s="18" t="n">
        <v>0.7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CVC 적합 딜 식별률</t>
        </is>
      </c>
      <c r="C18" s="18" t="n">
        <v>0.5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 추천 가능 비율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9" t="inlineStr">
        <is>
          <t>총점</t>
        </is>
      </c>
      <c r="B20" s="19" t="inlineStr">
        <is>
          <t>환산점수 합계</t>
        </is>
      </c>
      <c r="C20" s="37" t="n"/>
      <c r="D20" s="37" t="n"/>
      <c r="E20" s="37" t="n"/>
      <c r="F20" s="38" t="n"/>
      <c r="G20" s="20">
        <f>SUM(G8:G19)</f>
        <v/>
      </c>
      <c r="H20" s="21">
        <f>IF(G20&gt;=95,"S",IF(G20&gt;=90,"A",IF(G20&gt;=80,"B",IF(G20&gt;=70,"C","D"))))</f>
        <v/>
      </c>
      <c r="I20" s="22" t="n"/>
    </row>
    <row r="22" ht="34" customHeight="1">
      <c r="A22" s="6" t="inlineStr">
        <is>
          <t>핵심 성과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핵심 미달 항목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전분기 대비 개선사항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다음 분기 전략과제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인사/보상 반영 의견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</sheetData>
  <mergeCells count="14">
    <mergeCell ref="A1:J1"/>
    <mergeCell ref="A26:B26"/>
    <mergeCell ref="A24:B24"/>
    <mergeCell ref="C22:I22"/>
    <mergeCell ref="C23:I23"/>
    <mergeCell ref="A25:B25"/>
    <mergeCell ref="B20:F20"/>
    <mergeCell ref="C26:I26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Program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Program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Program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온보딩 완료율</t>
        </is>
      </c>
      <c r="C8" s="18" t="n">
        <v>1</v>
      </c>
      <c r="D8" s="12" t="inlineStr"/>
      <c r="E8" s="13">
        <f>IFERROR(IF(OR(C8="",D8=""),"",MIN(D8/C8,1.2)), "")</f>
        <v/>
      </c>
      <c r="F8" s="14" t="n">
        <v>5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액션플랜 수립률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5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멘토링 실행률</t>
        </is>
      </c>
      <c r="C10" s="18" t="n">
        <v>0.9</v>
      </c>
      <c r="D10" s="12" t="inlineStr"/>
      <c r="E10" s="13">
        <f>IFERROR(IF(OR(C10="",D10=""),"",MIN(D10/C10,1.2)), "")</f>
        <v/>
      </c>
      <c r="F10" s="14" t="n">
        <v>5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기술검증 과제 이행률</t>
        </is>
      </c>
      <c r="C11" s="18" t="n">
        <v>0.8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TIPS 준비 미팅 실행률</t>
        </is>
      </c>
      <c r="C12" s="18" t="n">
        <v>0.8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PoC 준비과제 이행률</t>
        </is>
      </c>
      <c r="C13" s="18" t="n">
        <v>0.7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TRL 상승 기업 수</t>
        </is>
      </c>
      <c r="C14" s="12" t="n">
        <v>2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KPI 개선 기업 비율</t>
        </is>
      </c>
      <c r="C15" s="18" t="n">
        <v>0.7</v>
      </c>
      <c r="D15" s="12" t="inlineStr"/>
      <c r="E15" s="13">
        <f>IFERROR(IF(OR(C15="",D15=""),"",MIN(D15/C15,1.2)), "")</f>
        <v/>
      </c>
      <c r="F15" s="14" t="n">
        <v>6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TIPS 자료 초안 완료 기업 수</t>
        </is>
      </c>
      <c r="C16" s="12" t="n">
        <v>2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PoC 준비완료 기업 수</t>
        </is>
      </c>
      <c r="C17" s="12" t="n">
        <v>2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후속투자 미팅 발생률</t>
        </is>
      </c>
      <c r="C18" s="18" t="n">
        <v>0.6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 후보 전환율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PoC 착수 전환율</t>
        </is>
      </c>
      <c r="C20" s="18" t="n">
        <v>0.45</v>
      </c>
      <c r="D20" s="12" t="inlineStr"/>
      <c r="E20" s="13">
        <f>IFERROR(IF(OR(C20="",D20=""),"",MIN(D20/C20,1.2)), "")</f>
        <v/>
      </c>
      <c r="F20" s="14" t="n">
        <v>8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CVC 소개 가능 상태 도달 기업 수</t>
        </is>
      </c>
      <c r="C21" s="12" t="n">
        <v>2</v>
      </c>
      <c r="D21" s="12" t="inlineStr"/>
      <c r="E21" s="13">
        <f>IFERROR(IF(OR(C21="",D21=""),"",MIN(D21/C21,1.2)), "")</f>
        <v/>
      </c>
      <c r="F21" s="14" t="n">
        <v>5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9" t="inlineStr">
        <is>
          <t>총점</t>
        </is>
      </c>
      <c r="B22" s="19" t="inlineStr">
        <is>
          <t>환산점수 합계</t>
        </is>
      </c>
      <c r="C22" s="37" t="n"/>
      <c r="D22" s="37" t="n"/>
      <c r="E22" s="37" t="n"/>
      <c r="F22" s="38" t="n"/>
      <c r="G22" s="20">
        <f>SUM(G8:G21)</f>
        <v/>
      </c>
      <c r="H22" s="21">
        <f>IF(G22&gt;=95,"S",IF(G22&gt;=90,"A",IF(G22&gt;=80,"B",IF(G22&gt;=70,"C","D"))))</f>
        <v/>
      </c>
      <c r="I22" s="22" t="n"/>
    </row>
    <row r="24" ht="34" customHeight="1">
      <c r="A24" s="6" t="inlineStr">
        <is>
          <t>이번 달 가장 잘한 점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이번 달 가장 부족한 점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다음 달 보완 우선순위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  <row r="27" ht="34" customHeight="1">
      <c r="A27" s="6" t="inlineStr">
        <is>
          <t>리스크 및 지원 요청</t>
        </is>
      </c>
      <c r="B27" s="38" t="n"/>
      <c r="C27" s="23" t="inlineStr"/>
      <c r="D27" s="37" t="n"/>
      <c r="E27" s="37" t="n"/>
      <c r="F27" s="37" t="n"/>
      <c r="G27" s="37" t="n"/>
      <c r="H27" s="37" t="n"/>
      <c r="I27" s="38" t="n"/>
    </row>
  </sheetData>
  <mergeCells count="12">
    <mergeCell ref="A1:J1"/>
    <mergeCell ref="A26:B26"/>
    <mergeCell ref="A24:B24"/>
    <mergeCell ref="A25:B25"/>
    <mergeCell ref="C26:I26"/>
    <mergeCell ref="C24:I24"/>
    <mergeCell ref="B22:F22"/>
    <mergeCell ref="A2:J2"/>
    <mergeCell ref="A6:I6"/>
    <mergeCell ref="A27:B27"/>
    <mergeCell ref="C25:I25"/>
    <mergeCell ref="C27:I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Program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Program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Program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액션플랜/멘토링 운영 완결률</t>
        </is>
      </c>
      <c r="C8" s="18" t="n">
        <v>0.9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과제 이행률</t>
        </is>
      </c>
      <c r="C9" s="18" t="n">
        <v>0.8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TIPS 준비 운영률</t>
        </is>
      </c>
      <c r="C10" s="18" t="n">
        <v>0.8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PoC 준비 운영률</t>
        </is>
      </c>
      <c r="C11" s="18" t="n">
        <v>0.7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TRL 상승 기업 수</t>
        </is>
      </c>
      <c r="C12" s="12" t="n">
        <v>5</v>
      </c>
      <c r="D12" s="12" t="inlineStr"/>
      <c r="E12" s="13">
        <f>IFERROR(IF(OR(C12="",D12=""),"",MIN(D12/C12,1.2)), "")</f>
        <v/>
      </c>
      <c r="F12" s="14" t="n">
        <v>12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TIPS 자료 초안 완료 기업 수</t>
        </is>
      </c>
      <c r="C13" s="12" t="n">
        <v>5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PoC 준비완료 기업 수</t>
        </is>
      </c>
      <c r="C14" s="12" t="n">
        <v>4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TIPS 후보 전환율</t>
        </is>
      </c>
      <c r="C15" s="18" t="n">
        <v>0.28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PoC 착수 전환율</t>
        </is>
      </c>
      <c r="C16" s="18" t="n">
        <v>0.45</v>
      </c>
      <c r="D16" s="12" t="inlineStr"/>
      <c r="E16" s="13">
        <f>IFERROR(IF(OR(C16="",D16=""),"",MIN(D16/C16,1.2)), "")</f>
        <v/>
      </c>
      <c r="F16" s="14" t="n">
        <v>10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후속투자 미팅 발생률</t>
        </is>
      </c>
      <c r="C17" s="18" t="n">
        <v>0.6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9" t="inlineStr">
        <is>
          <t>총점</t>
        </is>
      </c>
      <c r="B18" s="19" t="inlineStr">
        <is>
          <t>환산점수 합계</t>
        </is>
      </c>
      <c r="C18" s="37" t="n"/>
      <c r="D18" s="37" t="n"/>
      <c r="E18" s="37" t="n"/>
      <c r="F18" s="38" t="n"/>
      <c r="G18" s="20">
        <f>SUM(G8:G17)</f>
        <v/>
      </c>
      <c r="H18" s="21">
        <f>IF(G18&gt;=95,"S",IF(G18&gt;=90,"A",IF(G18&gt;=80,"B",IF(G18&gt;=70,"C","D"))))</f>
        <v/>
      </c>
      <c r="I18" s="22" t="n"/>
    </row>
    <row r="20" ht="34" customHeight="1">
      <c r="A20" s="6" t="inlineStr">
        <is>
          <t>핵심 성과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핵심 미달 항목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전분기 대비 개선사항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다음 분기 전략과제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인사/보상 반영 의견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</sheetData>
  <mergeCells count="14">
    <mergeCell ref="A1:J1"/>
    <mergeCell ref="A21:B21"/>
    <mergeCell ref="A20:B20"/>
    <mergeCell ref="C22:I22"/>
    <mergeCell ref="C23:I23"/>
    <mergeCell ref="A24:B24"/>
    <mergeCell ref="C21:I21"/>
    <mergeCell ref="A23:B23"/>
    <mergeCell ref="C20:I20"/>
    <mergeCell ref="C24:I24"/>
    <mergeCell ref="A6:I6"/>
    <mergeCell ref="A2:J2"/>
    <mergeCell ref="B18:F18"/>
    <mergeCell ref="A22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OpenInnovation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OpenInnovation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OpenInnovation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파트너 수</t>
        </is>
      </c>
      <c r="C8" s="12" t="n">
        <v>2</v>
      </c>
      <c r="D8" s="12" t="inlineStr"/>
      <c r="E8" s="13">
        <f>IFERROR(IF(OR(C8="",D8=""),"",MIN(D8/C8,1.2)), "")</f>
        <v/>
      </c>
      <c r="F8" s="14" t="n">
        <v>6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수요과제 발굴 수</t>
        </is>
      </c>
      <c r="C9" s="12" t="n">
        <v>4</v>
      </c>
      <c r="D9" s="12" t="inlineStr"/>
      <c r="E9" s="13">
        <f>IFERROR(IF(OR(C9="",D9=""),"",MIN(D9/C9,1.2)), "")</f>
        <v/>
      </c>
      <c r="F9" s="14" t="n">
        <v>8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매칭 제안 건수</t>
        </is>
      </c>
      <c r="C10" s="12" t="n">
        <v>4</v>
      </c>
      <c r="D10" s="12" t="inlineStr"/>
      <c r="E10" s="13">
        <f>IFERROR(IF(OR(C10="",D10=""),"",MIN(D10/C10,1.2)), "")</f>
        <v/>
      </c>
      <c r="F10" s="14" t="n">
        <v>6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PoC 설계 완료율</t>
        </is>
      </c>
      <c r="C11" s="18" t="n">
        <v>0.8</v>
      </c>
      <c r="D11" s="12" t="inlineStr"/>
      <c r="E11" s="13">
        <f>IFERROR(IF(OR(C11="",D11=""),"",MIN(D11/C11,1.2)), "")</f>
        <v/>
      </c>
      <c r="F11" s="14" t="n">
        <v>8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현업부서 연결률</t>
        </is>
      </c>
      <c r="C12" s="18" t="n">
        <v>0.7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NDA/실증조건 정리율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4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PoC 착수 건수</t>
        </is>
      </c>
      <c r="C14" s="12" t="n">
        <v>2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반도체 샘플테스트 착수 건수</t>
        </is>
      </c>
      <c r="C15" s="12" t="n">
        <v>1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모빌리티 실증 진입 건수</t>
        </is>
      </c>
      <c r="C16" s="12" t="n">
        <v>1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CVC 미팅 연결 건수</t>
        </is>
      </c>
      <c r="C17" s="12" t="n">
        <v>1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PoC 완료율</t>
        </is>
      </c>
      <c r="C18" s="18" t="n">
        <v>0.8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상용/공동개발 전환율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10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전략적 투자 검토 성사율</t>
        </is>
      </c>
      <c r="C20" s="18" t="n">
        <v>0.35</v>
      </c>
      <c r="D20" s="12" t="inlineStr"/>
      <c r="E20" s="13">
        <f>IFERROR(IF(OR(C20="",D20=""),"",MIN(D20/C20,1.2)), "")</f>
        <v/>
      </c>
      <c r="F20" s="14" t="n">
        <v>8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파트너 재참여율</t>
        </is>
      </c>
      <c r="C21" s="18" t="n">
        <v>0.5</v>
      </c>
      <c r="D21" s="12" t="inlineStr"/>
      <c r="E21" s="13">
        <f>IFERROR(IF(OR(C21="",D21=""),"",MIN(D21/C21,1.2)), "")</f>
        <v/>
      </c>
      <c r="F21" s="14" t="n">
        <v>6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9" t="inlineStr">
        <is>
          <t>총점</t>
        </is>
      </c>
      <c r="B22" s="19" t="inlineStr">
        <is>
          <t>환산점수 합계</t>
        </is>
      </c>
      <c r="C22" s="37" t="n"/>
      <c r="D22" s="37" t="n"/>
      <c r="E22" s="37" t="n"/>
      <c r="F22" s="38" t="n"/>
      <c r="G22" s="20">
        <f>SUM(G8:G21)</f>
        <v/>
      </c>
      <c r="H22" s="21">
        <f>IF(G22&gt;=95,"S",IF(G22&gt;=90,"A",IF(G22&gt;=80,"B",IF(G22&gt;=70,"C","D"))))</f>
        <v/>
      </c>
      <c r="I22" s="22" t="n"/>
    </row>
    <row r="24" ht="34" customHeight="1">
      <c r="A24" s="6" t="inlineStr">
        <is>
          <t>이번 달 가장 잘한 점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이번 달 가장 부족한 점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다음 달 보완 우선순위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  <row r="27" ht="34" customHeight="1">
      <c r="A27" s="6" t="inlineStr">
        <is>
          <t>리스크 및 지원 요청</t>
        </is>
      </c>
      <c r="B27" s="38" t="n"/>
      <c r="C27" s="23" t="inlineStr"/>
      <c r="D27" s="37" t="n"/>
      <c r="E27" s="37" t="n"/>
      <c r="F27" s="37" t="n"/>
      <c r="G27" s="37" t="n"/>
      <c r="H27" s="37" t="n"/>
      <c r="I27" s="38" t="n"/>
    </row>
  </sheetData>
  <mergeCells count="12">
    <mergeCell ref="A1:J1"/>
    <mergeCell ref="A26:B26"/>
    <mergeCell ref="A24:B24"/>
    <mergeCell ref="A25:B25"/>
    <mergeCell ref="C26:I26"/>
    <mergeCell ref="C24:I24"/>
    <mergeCell ref="B22:F22"/>
    <mergeCell ref="A2:J2"/>
    <mergeCell ref="A6:I6"/>
    <mergeCell ref="A27:B27"/>
    <mergeCell ref="C25:I25"/>
    <mergeCell ref="C27:I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OpenInnovation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OpenInnovation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OpenInnovation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파트너 수</t>
        </is>
      </c>
      <c r="C8" s="12" t="n">
        <v>5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수요과제 발굴 수</t>
        </is>
      </c>
      <c r="C9" s="12" t="n">
        <v>10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PoC 설계 완료율</t>
        </is>
      </c>
      <c r="C10" s="18" t="n">
        <v>0.8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현업부서 연결률</t>
        </is>
      </c>
      <c r="C11" s="18" t="n">
        <v>0.7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PoC 착수 건수</t>
        </is>
      </c>
      <c r="C12" s="12" t="n">
        <v>5</v>
      </c>
      <c r="D12" s="12" t="inlineStr"/>
      <c r="E12" s="13">
        <f>IFERROR(IF(OR(C12="",D12=""),"",MIN(D12/C12,1.2)), "")</f>
        <v/>
      </c>
      <c r="F12" s="14" t="n">
        <v>15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반도체 샘플테스트 착수 건수</t>
        </is>
      </c>
      <c r="C13" s="12" t="n">
        <v>3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모빌리티 실증 진입 건수</t>
        </is>
      </c>
      <c r="C14" s="12" t="n">
        <v>3</v>
      </c>
      <c r="D14" s="12" t="inlineStr"/>
      <c r="E14" s="13">
        <f>IFERROR(IF(OR(C14="",D14=""),"",MIN(D14/C14,1.2)), "")</f>
        <v/>
      </c>
      <c r="F14" s="14" t="n">
        <v>8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CVC 미팅 연결 건수</t>
        </is>
      </c>
      <c r="C15" s="12" t="n">
        <v>3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상용/공동개발 전환율</t>
        </is>
      </c>
      <c r="C16" s="18" t="n">
        <v>0.28</v>
      </c>
      <c r="D16" s="12" t="inlineStr"/>
      <c r="E16" s="13">
        <f>IFERROR(IF(OR(C16="",D16=""),"",MIN(D16/C16,1.2)), "")</f>
        <v/>
      </c>
      <c r="F16" s="14" t="n">
        <v>12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전략적 투자 검토 성사율</t>
        </is>
      </c>
      <c r="C17" s="18" t="n">
        <v>0.35</v>
      </c>
      <c r="D17" s="12" t="inlineStr"/>
      <c r="E17" s="13">
        <f>IFERROR(IF(OR(C17="",D17=""),"",MIN(D17/C17,1.2)), "")</f>
        <v/>
      </c>
      <c r="F17" s="14" t="n">
        <v>9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파트너 재참여율</t>
        </is>
      </c>
      <c r="C18" s="18" t="n">
        <v>0.5</v>
      </c>
      <c r="D18" s="12" t="inlineStr"/>
      <c r="E18" s="13">
        <f>IFERROR(IF(OR(C18="",D18=""),"",MIN(D18/C18,1.2)), "")</f>
        <v/>
      </c>
      <c r="F18" s="14" t="n">
        <v>10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9" t="inlineStr">
        <is>
          <t>총점</t>
        </is>
      </c>
      <c r="B19" s="19" t="inlineStr">
        <is>
          <t>환산점수 합계</t>
        </is>
      </c>
      <c r="C19" s="37" t="n"/>
      <c r="D19" s="37" t="n"/>
      <c r="E19" s="37" t="n"/>
      <c r="F19" s="38" t="n"/>
      <c r="G19" s="20">
        <f>SUM(G8:G18)</f>
        <v/>
      </c>
      <c r="H19" s="21">
        <f>IF(G19&gt;=95,"S",IF(G19&gt;=90,"A",IF(G19&gt;=80,"B",IF(G19&gt;=70,"C","D"))))</f>
        <v/>
      </c>
      <c r="I19" s="22" t="n"/>
    </row>
    <row r="21" ht="34" customHeight="1">
      <c r="A21" s="6" t="inlineStr">
        <is>
          <t>핵심 성과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핵심 미달 항목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전분기 대비 개선사항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다음 분기 전략과제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인사/보상 반영 의견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</sheetData>
  <mergeCells count="14">
    <mergeCell ref="A1:J1"/>
    <mergeCell ref="A21:B21"/>
    <mergeCell ref="A24:B24"/>
    <mergeCell ref="C22:I22"/>
    <mergeCell ref="C23:I23"/>
    <mergeCell ref="A25:B25"/>
    <mergeCell ref="C21:I21"/>
    <mergeCell ref="B19:F19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Operations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Operations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Operations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계약 처리 리드타임</t>
        </is>
      </c>
      <c r="C8" s="12" t="n">
        <v>10</v>
      </c>
      <c r="D8" s="12" t="inlineStr"/>
      <c r="E8" s="13">
        <f>IFERROR(IF(OR(C8="",D8=""),"",MIN(D8/C8,1.2)), "")</f>
        <v/>
      </c>
      <c r="F8" s="14" t="n">
        <v>10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투자집행 정시율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8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NDA/PoC 문서 정리율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cap table 업데이트 적시율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6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TIPS 관련 문서 지원 적시율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보고기한 준수율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문서보관 완결률</t>
        </is>
      </c>
      <c r="C14" s="18" t="n">
        <v>1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CVC/NDA/실증계약 정리 건수</t>
        </is>
      </c>
      <c r="C15" s="18" t="n">
        <v>1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문서 오류 건수</t>
        </is>
      </c>
      <c r="C16" s="12" t="n">
        <v>0</v>
      </c>
      <c r="D16" s="12" t="inlineStr"/>
      <c r="E16" s="13">
        <f>IFERROR(IF(OR(C16="",D16=""),"",MIN(D16/C16,1.2)), "")</f>
        <v/>
      </c>
      <c r="F16" s="14" t="n">
        <v>10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감사 지적 건수</t>
        </is>
      </c>
      <c r="C17" s="12" t="n">
        <v>0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보안사고 건수</t>
        </is>
      </c>
      <c r="C18" s="12" t="n">
        <v>0</v>
      </c>
      <c r="D18" s="12" t="inlineStr"/>
      <c r="E18" s="13">
        <f>IFERROR(IF(OR(C18="",D18=""),"",MIN(D18/C18,1.2)), "")</f>
        <v/>
      </c>
      <c r="F18" s="14" t="n">
        <v>8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TIPS/실증 행정 지원 만족도</t>
        </is>
      </c>
      <c r="C19" s="12" t="n">
        <v>4.5</v>
      </c>
      <c r="D19" s="12" t="inlineStr"/>
      <c r="E19" s="13">
        <f>IFERROR(IF(OR(C19="",D19=""),"",MIN(D19/C19,1.2)), "")</f>
        <v/>
      </c>
      <c r="F19" s="14" t="n">
        <v>6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9" t="inlineStr">
        <is>
          <t>총점</t>
        </is>
      </c>
      <c r="B20" s="19" t="inlineStr">
        <is>
          <t>환산점수 합계</t>
        </is>
      </c>
      <c r="C20" s="37" t="n"/>
      <c r="D20" s="37" t="n"/>
      <c r="E20" s="37" t="n"/>
      <c r="F20" s="38" t="n"/>
      <c r="G20" s="20">
        <f>SUM(G8:G19)</f>
        <v/>
      </c>
      <c r="H20" s="21">
        <f>IF(G20&gt;=95,"S",IF(G20&gt;=90,"A",IF(G20&gt;=80,"B",IF(G20&gt;=70,"C","D"))))</f>
        <v/>
      </c>
      <c r="I20" s="22" t="n"/>
    </row>
    <row r="22" ht="34" customHeight="1">
      <c r="A22" s="6" t="inlineStr">
        <is>
          <t>이번 달 가장 잘한 점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이번 달 가장 부족한 점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다음 달 보완 우선순위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리스크 및 지원 요청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</sheetData>
  <mergeCells count="12">
    <mergeCell ref="A1:J1"/>
    <mergeCell ref="A24:B24"/>
    <mergeCell ref="C22:I22"/>
    <mergeCell ref="C23:I23"/>
    <mergeCell ref="A25:B25"/>
    <mergeCell ref="B20:F20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Operations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Operations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Operations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계약 처리 리드타임</t>
        </is>
      </c>
      <c r="C8" s="12" t="n">
        <v>10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투자집행 정시율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NDA/PoC 문서 정리율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TIPS 문서 지원 적시율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보고기한 준수율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12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문서보관 완결률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Outcome</t>
        </is>
      </c>
      <c r="B14" s="11" t="inlineStr">
        <is>
          <t>문서 오류 건수</t>
        </is>
      </c>
      <c r="C14" s="12" t="n">
        <v>0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감사 지적 건수</t>
        </is>
      </c>
      <c r="C15" s="12" t="n">
        <v>0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보안사고 건수</t>
        </is>
      </c>
      <c r="C16" s="12" t="n">
        <v>0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딥테크 행정 지원 만족도</t>
        </is>
      </c>
      <c r="C17" s="12" t="n">
        <v>4.5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9" t="inlineStr">
        <is>
          <t>총점</t>
        </is>
      </c>
      <c r="B18" s="19" t="inlineStr">
        <is>
          <t>환산점수 합계</t>
        </is>
      </c>
      <c r="C18" s="37" t="n"/>
      <c r="D18" s="37" t="n"/>
      <c r="E18" s="37" t="n"/>
      <c r="F18" s="38" t="n"/>
      <c r="G18" s="20">
        <f>SUM(G8:G17)</f>
        <v/>
      </c>
      <c r="H18" s="21">
        <f>IF(G18&gt;=95,"S",IF(G18&gt;=90,"A",IF(G18&gt;=80,"B",IF(G18&gt;=70,"C","D"))))</f>
        <v/>
      </c>
      <c r="I18" s="22" t="n"/>
    </row>
    <row r="20" ht="34" customHeight="1">
      <c r="A20" s="6" t="inlineStr">
        <is>
          <t>핵심 성과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핵심 미달 항목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전분기 대비 개선사항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다음 분기 전략과제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인사/보상 반영 의견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</sheetData>
  <mergeCells count="14">
    <mergeCell ref="A1:J1"/>
    <mergeCell ref="A21:B21"/>
    <mergeCell ref="A20:B20"/>
    <mergeCell ref="C22:I22"/>
    <mergeCell ref="C23:I23"/>
    <mergeCell ref="A24:B24"/>
    <mergeCell ref="C21:I21"/>
    <mergeCell ref="A23:B23"/>
    <mergeCell ref="C20:I20"/>
    <mergeCell ref="C24:I24"/>
    <mergeCell ref="A6:I6"/>
    <mergeCell ref="A2:J2"/>
    <mergeCell ref="B18:F18"/>
    <mergeCell ref="A22:B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4" customWidth="1" min="9" max="9"/>
  </cols>
  <sheetData>
    <row r="1" ht="24" customHeight="1">
      <c r="A1" s="1" t="inlineStr">
        <is>
          <t>Link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팀 간 전환 KPI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평가기간</t>
        </is>
      </c>
      <c r="B4" s="4" t="inlineStr">
        <is>
          <t>2026-01</t>
        </is>
      </c>
      <c r="C4" s="3" t="inlineStr">
        <is>
          <t>작성자</t>
        </is>
      </c>
      <c r="D4" s="4" t="inlineStr"/>
      <c r="E4" s="3" t="inlineStr">
        <is>
          <t>검토자</t>
        </is>
      </c>
      <c r="F4" s="4" t="inlineStr"/>
    </row>
    <row r="5">
      <c r="A5" s="8" t="inlineStr">
        <is>
          <t>팀 간 월간 전환 KPI</t>
        </is>
      </c>
      <c r="B5" s="37" t="n"/>
      <c r="C5" s="37" t="n"/>
      <c r="D5" s="37" t="n"/>
      <c r="E5" s="37" t="n"/>
      <c r="F5" s="37" t="n"/>
      <c r="G5" s="37" t="n"/>
      <c r="H5" s="37" t="n"/>
      <c r="I5" s="38" t="n"/>
    </row>
    <row r="6">
      <c r="A6" s="9" t="inlineStr">
        <is>
          <t>KPI 구분</t>
        </is>
      </c>
      <c r="B6" s="9" t="inlineStr">
        <is>
          <t>KPI 항목</t>
        </is>
      </c>
      <c r="C6" s="9" t="inlineStr">
        <is>
          <t>목표</t>
        </is>
      </c>
      <c r="D6" s="9" t="inlineStr">
        <is>
          <t>실적</t>
        </is>
      </c>
      <c r="E6" s="9" t="inlineStr">
        <is>
          <t>달성률(%)</t>
        </is>
      </c>
      <c r="F6" s="9" t="inlineStr">
        <is>
          <t>비중</t>
        </is>
      </c>
      <c r="G6" s="9" t="inlineStr">
        <is>
          <t>환산점수</t>
        </is>
      </c>
      <c r="H6" s="9" t="inlineStr">
        <is>
          <t>상태</t>
        </is>
      </c>
      <c r="I6" s="9" t="inlineStr">
        <is>
          <t>코멘트</t>
        </is>
      </c>
    </row>
    <row r="7">
      <c r="A7" s="10" t="inlineStr">
        <is>
          <t>Sourcing → 심사</t>
        </is>
      </c>
      <c r="B7" s="11" t="inlineStr">
        <is>
          <t>전략산업 딜 심사 전환율</t>
        </is>
      </c>
      <c r="C7" s="18" t="n">
        <v>0.7</v>
      </c>
      <c r="D7" s="12" t="inlineStr"/>
      <c r="E7" s="13">
        <f>IFERROR(IF(OR(C7="",D7=""),"",MIN(D7/C7,1.2)), "")</f>
        <v/>
      </c>
      <c r="F7" s="14" t="n">
        <v>10</v>
      </c>
      <c r="G7" s="15">
        <f>IFERROR(E7*F7,"")</f>
        <v/>
      </c>
      <c r="H7" s="16">
        <f>IF(E7="","",IF(E7&gt;=1,"양호",IF(E7&gt;=0.9,"양호",IF(E7&gt;=0.7,"주의","위험"))))</f>
        <v/>
      </c>
      <c r="I7" s="17" t="inlineStr"/>
    </row>
    <row r="8">
      <c r="A8" s="10" t="inlineStr">
        <is>
          <t>심사 → 투자</t>
        </is>
      </c>
      <c r="B8" s="11" t="inlineStr">
        <is>
          <t>기술검증 완료 후 투자집행율</t>
        </is>
      </c>
      <c r="C8" s="18" t="n">
        <v>0.6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심사 → 보육</t>
        </is>
      </c>
      <c r="B9" s="11" t="inlineStr">
        <is>
          <t>TIPS 후보 이관율</t>
        </is>
      </c>
      <c r="C9" s="18" t="n">
        <v>0.28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보육 → TRL</t>
        </is>
      </c>
      <c r="B10" s="11" t="inlineStr">
        <is>
          <t>TRL 상승 전환율</t>
        </is>
      </c>
      <c r="C10" s="18" t="n">
        <v>0.35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보육 → PoC</t>
        </is>
      </c>
      <c r="B11" s="11" t="inlineStr">
        <is>
          <t>PoC 준비완료율</t>
        </is>
      </c>
      <c r="C11" s="18" t="n">
        <v>0.45</v>
      </c>
      <c r="D11" s="12" t="inlineStr"/>
      <c r="E11" s="13">
        <f>IFERROR(IF(OR(C11="",D11=""),"",MIN(D11/C11,1.2)), "")</f>
        <v/>
      </c>
      <c r="F11" s="14" t="n">
        <v>12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보육 → TIPS</t>
        </is>
      </c>
      <c r="B12" s="11" t="inlineStr">
        <is>
          <t>추천 준비 완료율</t>
        </is>
      </c>
      <c r="C12" s="18" t="n">
        <v>0.25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OI → PoC</t>
        </is>
      </c>
      <c r="B13" s="11" t="inlineStr">
        <is>
          <t>PoC 착수율</t>
        </is>
      </c>
      <c r="C13" s="18" t="n">
        <v>0.45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OI → 계약</t>
        </is>
      </c>
      <c r="B14" s="11" t="inlineStr">
        <is>
          <t>상용/공동개발 전환율</t>
        </is>
      </c>
      <c r="C14" s="18" t="n">
        <v>0.28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OI → CVC</t>
        </is>
      </c>
      <c r="B15" s="11" t="inlineStr">
        <is>
          <t>CVC 미팅 성사율</t>
        </is>
      </c>
      <c r="C15" s="18" t="n">
        <v>0.35</v>
      </c>
      <c r="D15" s="12" t="inlineStr"/>
      <c r="E15" s="13">
        <f>IFERROR(IF(OR(C15="",D15=""),"",MIN(D15/C15,1.2)), "")</f>
        <v/>
      </c>
      <c r="F15" s="14" t="n">
        <v>12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9" t="inlineStr">
        <is>
          <t>총점</t>
        </is>
      </c>
      <c r="B16" s="19" t="inlineStr">
        <is>
          <t>환산점수 합계</t>
        </is>
      </c>
      <c r="C16" s="37" t="n"/>
      <c r="D16" s="37" t="n"/>
      <c r="E16" s="37" t="n"/>
      <c r="F16" s="38" t="n"/>
      <c r="G16" s="20">
        <f>SUM(G7:G15)</f>
        <v/>
      </c>
      <c r="H16" s="21">
        <f>IF(G16&gt;=95,"S",IF(G16&gt;=90,"A",IF(G16&gt;=80,"B",IF(G16&gt;=70,"C","D"))))</f>
        <v/>
      </c>
      <c r="I16" s="22" t="n"/>
    </row>
    <row r="18" ht="34" customHeight="1">
      <c r="A18" s="6" t="inlineStr">
        <is>
          <t>이번 달 가장 잘한 점</t>
        </is>
      </c>
      <c r="B18" s="38" t="n"/>
      <c r="C18" s="23" t="inlineStr"/>
      <c r="D18" s="37" t="n"/>
      <c r="E18" s="37" t="n"/>
      <c r="F18" s="37" t="n"/>
      <c r="G18" s="37" t="n"/>
      <c r="H18" s="37" t="n"/>
      <c r="I18" s="38" t="n"/>
    </row>
    <row r="19" ht="34" customHeight="1">
      <c r="A19" s="6" t="inlineStr">
        <is>
          <t>이번 달 가장 부족한 점</t>
        </is>
      </c>
      <c r="B19" s="38" t="n"/>
      <c r="C19" s="23" t="inlineStr"/>
      <c r="D19" s="37" t="n"/>
      <c r="E19" s="37" t="n"/>
      <c r="F19" s="37" t="n"/>
      <c r="G19" s="37" t="n"/>
      <c r="H19" s="37" t="n"/>
      <c r="I19" s="38" t="n"/>
    </row>
    <row r="20" ht="34" customHeight="1">
      <c r="A20" s="6" t="inlineStr">
        <is>
          <t>다음 달 보완 우선순위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리스크 및 지원 요청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</sheetData>
  <mergeCells count="12">
    <mergeCell ref="A1:J1"/>
    <mergeCell ref="A21:B21"/>
    <mergeCell ref="A20:B20"/>
    <mergeCell ref="C18:I18"/>
    <mergeCell ref="B16:F16"/>
    <mergeCell ref="A5:I5"/>
    <mergeCell ref="A19:B19"/>
    <mergeCell ref="C21:I21"/>
    <mergeCell ref="C20:I20"/>
    <mergeCell ref="A2:J2"/>
    <mergeCell ref="A18:B18"/>
    <mergeCell ref="C19:I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4" customWidth="1" min="9" max="9"/>
  </cols>
  <sheetData>
    <row r="1" ht="24" customHeight="1">
      <c r="A1" s="1" t="inlineStr">
        <is>
          <t>Link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팀 간 전환 KPI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평가기간</t>
        </is>
      </c>
      <c r="B4" s="4" t="inlineStr">
        <is>
          <t>2026-Q1</t>
        </is>
      </c>
      <c r="C4" s="3" t="inlineStr">
        <is>
          <t>작성자</t>
        </is>
      </c>
      <c r="D4" s="4" t="inlineStr"/>
      <c r="E4" s="3" t="inlineStr">
        <is>
          <t>검토자</t>
        </is>
      </c>
      <c r="F4" s="4" t="inlineStr"/>
    </row>
    <row r="5">
      <c r="A5" s="8" t="inlineStr">
        <is>
          <t>팀 간 분기 전환 KPI</t>
        </is>
      </c>
      <c r="B5" s="37" t="n"/>
      <c r="C5" s="37" t="n"/>
      <c r="D5" s="37" t="n"/>
      <c r="E5" s="37" t="n"/>
      <c r="F5" s="37" t="n"/>
      <c r="G5" s="37" t="n"/>
      <c r="H5" s="37" t="n"/>
      <c r="I5" s="38" t="n"/>
    </row>
    <row r="6">
      <c r="A6" s="9" t="inlineStr">
        <is>
          <t>KPI 구분</t>
        </is>
      </c>
      <c r="B6" s="9" t="inlineStr">
        <is>
          <t>KPI 항목</t>
        </is>
      </c>
      <c r="C6" s="9" t="inlineStr">
        <is>
          <t>목표</t>
        </is>
      </c>
      <c r="D6" s="9" t="inlineStr">
        <is>
          <t>실적</t>
        </is>
      </c>
      <c r="E6" s="9" t="inlineStr">
        <is>
          <t>달성률(%)</t>
        </is>
      </c>
      <c r="F6" s="9" t="inlineStr">
        <is>
          <t>비중</t>
        </is>
      </c>
      <c r="G6" s="9" t="inlineStr">
        <is>
          <t>환산점수</t>
        </is>
      </c>
      <c r="H6" s="9" t="inlineStr">
        <is>
          <t>상태</t>
        </is>
      </c>
      <c r="I6" s="9" t="inlineStr">
        <is>
          <t>코멘트</t>
        </is>
      </c>
    </row>
    <row r="7">
      <c r="A7" s="10" t="inlineStr">
        <is>
          <t>Sourcing → 심사</t>
        </is>
      </c>
      <c r="B7" s="11" t="inlineStr">
        <is>
          <t>전략산업 심사 전환율</t>
        </is>
      </c>
      <c r="C7" s="18" t="n">
        <v>0.7</v>
      </c>
      <c r="D7" s="12" t="inlineStr"/>
      <c r="E7" s="13">
        <f>IFERROR(IF(OR(C7="",D7=""),"",MIN(D7/C7,1.2)), "")</f>
        <v/>
      </c>
      <c r="F7" s="14" t="n">
        <v>10</v>
      </c>
      <c r="G7" s="15">
        <f>IFERROR(E7*F7,"")</f>
        <v/>
      </c>
      <c r="H7" s="16">
        <f>IF(E7="","",IF(E7&gt;=1,"양호",IF(E7&gt;=0.9,"양호",IF(E7&gt;=0.7,"주의","위험"))))</f>
        <v/>
      </c>
      <c r="I7" s="17" t="inlineStr"/>
    </row>
    <row r="8">
      <c r="A8" s="10" t="inlineStr">
        <is>
          <t>심사 → 투자</t>
        </is>
      </c>
      <c r="B8" s="11" t="inlineStr">
        <is>
          <t>기술검증 후 투자집행율</t>
        </is>
      </c>
      <c r="C8" s="18" t="n">
        <v>0.6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심사 → 보육</t>
        </is>
      </c>
      <c r="B9" s="11" t="inlineStr">
        <is>
          <t>TIPS 후보 이관율</t>
        </is>
      </c>
      <c r="C9" s="18" t="n">
        <v>0.28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보육 → TRL</t>
        </is>
      </c>
      <c r="B10" s="11" t="inlineStr">
        <is>
          <t>TRL 상승 전환율</t>
        </is>
      </c>
      <c r="C10" s="18" t="n">
        <v>0.35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보육 → PoC</t>
        </is>
      </c>
      <c r="B11" s="11" t="inlineStr">
        <is>
          <t>PoC 준비완료율</t>
        </is>
      </c>
      <c r="C11" s="18" t="n">
        <v>0.45</v>
      </c>
      <c r="D11" s="12" t="inlineStr"/>
      <c r="E11" s="13">
        <f>IFERROR(IF(OR(C11="",D11=""),"",MIN(D11/C11,1.2)), "")</f>
        <v/>
      </c>
      <c r="F11" s="14" t="n">
        <v>12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보육 → TIPS</t>
        </is>
      </c>
      <c r="B12" s="11" t="inlineStr">
        <is>
          <t>추천 준비 완료율</t>
        </is>
      </c>
      <c r="C12" s="18" t="n">
        <v>0.25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OI → PoC</t>
        </is>
      </c>
      <c r="B13" s="11" t="inlineStr">
        <is>
          <t>PoC 착수율</t>
        </is>
      </c>
      <c r="C13" s="18" t="n">
        <v>0.45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OI → 계약</t>
        </is>
      </c>
      <c r="B14" s="11" t="inlineStr">
        <is>
          <t>전환율</t>
        </is>
      </c>
      <c r="C14" s="18" t="n">
        <v>0.28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OI → CVC</t>
        </is>
      </c>
      <c r="B15" s="11" t="inlineStr">
        <is>
          <t>미팅 성사율</t>
        </is>
      </c>
      <c r="C15" s="18" t="n">
        <v>0.35</v>
      </c>
      <c r="D15" s="12" t="inlineStr"/>
      <c r="E15" s="13">
        <f>IFERROR(IF(OR(C15="",D15=""),"",MIN(D15/C15,1.2)), "")</f>
        <v/>
      </c>
      <c r="F15" s="14" t="n">
        <v>12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9" t="inlineStr">
        <is>
          <t>총점</t>
        </is>
      </c>
      <c r="B16" s="19" t="inlineStr">
        <is>
          <t>환산점수 합계</t>
        </is>
      </c>
      <c r="C16" s="37" t="n"/>
      <c r="D16" s="37" t="n"/>
      <c r="E16" s="37" t="n"/>
      <c r="F16" s="38" t="n"/>
      <c r="G16" s="20">
        <f>SUM(G7:G15)</f>
        <v/>
      </c>
      <c r="H16" s="21">
        <f>IF(G16&gt;=95,"S",IF(G16&gt;=90,"A",IF(G16&gt;=80,"B",IF(G16&gt;=70,"C","D"))))</f>
        <v/>
      </c>
      <c r="I16" s="22" t="n"/>
    </row>
    <row r="18" ht="34" customHeight="1">
      <c r="A18" s="6" t="inlineStr">
        <is>
          <t>핵심 성과</t>
        </is>
      </c>
      <c r="B18" s="38" t="n"/>
      <c r="C18" s="23" t="inlineStr"/>
      <c r="D18" s="37" t="n"/>
      <c r="E18" s="37" t="n"/>
      <c r="F18" s="37" t="n"/>
      <c r="G18" s="37" t="n"/>
      <c r="H18" s="37" t="n"/>
      <c r="I18" s="38" t="n"/>
    </row>
    <row r="19" ht="34" customHeight="1">
      <c r="A19" s="6" t="inlineStr">
        <is>
          <t>핵심 미달 항목</t>
        </is>
      </c>
      <c r="B19" s="38" t="n"/>
      <c r="C19" s="23" t="inlineStr"/>
      <c r="D19" s="37" t="n"/>
      <c r="E19" s="37" t="n"/>
      <c r="F19" s="37" t="n"/>
      <c r="G19" s="37" t="n"/>
      <c r="H19" s="37" t="n"/>
      <c r="I19" s="38" t="n"/>
    </row>
    <row r="20" ht="34" customHeight="1">
      <c r="A20" s="6" t="inlineStr">
        <is>
          <t>전분기 대비 개선사항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다음 분기 전략과제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인사/보상 반영 의견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</sheetData>
  <mergeCells count="14">
    <mergeCell ref="A1:J1"/>
    <mergeCell ref="A21:B21"/>
    <mergeCell ref="A20:B20"/>
    <mergeCell ref="C22:I22"/>
    <mergeCell ref="C18:I18"/>
    <mergeCell ref="A22:B22"/>
    <mergeCell ref="B16:F16"/>
    <mergeCell ref="A5:I5"/>
    <mergeCell ref="A19:B19"/>
    <mergeCell ref="C21:I21"/>
    <mergeCell ref="C20:I20"/>
    <mergeCell ref="A2:J2"/>
    <mergeCell ref="A18:B18"/>
    <mergeCell ref="C19:I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</cols>
  <sheetData>
    <row r="1" ht="24" customHeight="1">
      <c r="A1" s="1" t="inlineStr">
        <is>
          <t>KPI Summary Dashboard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팀별 총점과 등급을 한눈에 보는 상위 요약표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5" t="inlineStr">
        <is>
          <t>월간 요약</t>
        </is>
      </c>
      <c r="F4" s="5" t="inlineStr">
        <is>
          <t>분기 요약</t>
        </is>
      </c>
    </row>
    <row r="5">
      <c r="A5" s="24" t="inlineStr">
        <is>
          <t>팀</t>
        </is>
      </c>
      <c r="B5" s="24" t="inlineStr">
        <is>
          <t>시트</t>
        </is>
      </c>
      <c r="C5" s="24" t="inlineStr">
        <is>
          <t>총점</t>
        </is>
      </c>
      <c r="D5" s="24" t="inlineStr">
        <is>
          <t>등급</t>
        </is>
      </c>
      <c r="F5" s="24" t="inlineStr">
        <is>
          <t>팀</t>
        </is>
      </c>
      <c r="G5" s="24" t="inlineStr">
        <is>
          <t>시트</t>
        </is>
      </c>
      <c r="H5" s="24" t="inlineStr">
        <is>
          <t>총점</t>
        </is>
      </c>
      <c r="I5" s="24" t="inlineStr">
        <is>
          <t>등급</t>
        </is>
      </c>
    </row>
    <row r="6">
      <c r="A6" s="11" t="inlineStr">
        <is>
          <t>Sourcing</t>
        </is>
      </c>
      <c r="B6" s="25" t="inlineStr">
        <is>
          <t>Sourcing_Monthly</t>
        </is>
      </c>
      <c r="C6" s="15">
        <f>'Sourcing_Monthly'!G21</f>
        <v/>
      </c>
      <c r="D6" s="26">
        <f>'Sourcing_Monthly'!H21</f>
        <v/>
      </c>
      <c r="F6" s="11" t="inlineStr">
        <is>
          <t>Sourcing</t>
        </is>
      </c>
      <c r="G6" s="25" t="inlineStr">
        <is>
          <t>Sourcing_Quarterly</t>
        </is>
      </c>
      <c r="H6" s="15">
        <f>'Sourcing_Quarterly'!G17</f>
        <v/>
      </c>
      <c r="I6" s="26">
        <f>'Sourcing_Quarterly'!H17</f>
        <v/>
      </c>
    </row>
    <row r="7">
      <c r="A7" s="11" t="inlineStr">
        <is>
          <t>Investment</t>
        </is>
      </c>
      <c r="B7" s="25" t="inlineStr">
        <is>
          <t>Investment_Monthly</t>
        </is>
      </c>
      <c r="C7" s="15">
        <f>'Investment_Monthly'!G23</f>
        <v/>
      </c>
      <c r="D7" s="26">
        <f>'Investment_Monthly'!H23</f>
        <v/>
      </c>
      <c r="F7" s="11" t="inlineStr">
        <is>
          <t>Investment</t>
        </is>
      </c>
      <c r="G7" s="25" t="inlineStr">
        <is>
          <t>Investment_Quarterly</t>
        </is>
      </c>
      <c r="H7" s="15">
        <f>'Investment_Quarterly'!G20</f>
        <v/>
      </c>
      <c r="I7" s="26">
        <f>'Investment_Quarterly'!H20</f>
        <v/>
      </c>
    </row>
    <row r="8">
      <c r="A8" s="11" t="inlineStr">
        <is>
          <t>Program</t>
        </is>
      </c>
      <c r="B8" s="25" t="inlineStr">
        <is>
          <t>Program_Monthly</t>
        </is>
      </c>
      <c r="C8" s="15">
        <f>'Program_Monthly'!G22</f>
        <v/>
      </c>
      <c r="D8" s="26">
        <f>'Program_Monthly'!H22</f>
        <v/>
      </c>
      <c r="F8" s="11" t="inlineStr">
        <is>
          <t>Program</t>
        </is>
      </c>
      <c r="G8" s="25" t="inlineStr">
        <is>
          <t>Program_Quarterly</t>
        </is>
      </c>
      <c r="H8" s="15">
        <f>'Program_Quarterly'!G18</f>
        <v/>
      </c>
      <c r="I8" s="26">
        <f>'Program_Quarterly'!H18</f>
        <v/>
      </c>
    </row>
    <row r="9">
      <c r="A9" s="11" t="inlineStr">
        <is>
          <t>OpenInnovation</t>
        </is>
      </c>
      <c r="B9" s="25" t="inlineStr">
        <is>
          <t>OpenInnovation_Monthly</t>
        </is>
      </c>
      <c r="C9" s="15">
        <f>'OpenInnovation_Monthly'!G22</f>
        <v/>
      </c>
      <c r="D9" s="26">
        <f>'OpenInnovation_Monthly'!H22</f>
        <v/>
      </c>
      <c r="F9" s="11" t="inlineStr">
        <is>
          <t>OpenInnovation</t>
        </is>
      </c>
      <c r="G9" s="25" t="inlineStr">
        <is>
          <t>OpenInnovation_Quarterly</t>
        </is>
      </c>
      <c r="H9" s="15">
        <f>'OpenInnovation_Quarterly'!G19</f>
        <v/>
      </c>
      <c r="I9" s="26">
        <f>'OpenInnovation_Quarterly'!H19</f>
        <v/>
      </c>
    </row>
    <row r="10">
      <c r="A10" s="11" t="inlineStr">
        <is>
          <t>Operations</t>
        </is>
      </c>
      <c r="B10" s="25" t="inlineStr">
        <is>
          <t>Operations_Monthly</t>
        </is>
      </c>
      <c r="C10" s="15">
        <f>'Operations_Monthly'!G20</f>
        <v/>
      </c>
      <c r="D10" s="26">
        <f>'Operations_Monthly'!H20</f>
        <v/>
      </c>
      <c r="F10" s="11" t="inlineStr">
        <is>
          <t>Operations</t>
        </is>
      </c>
      <c r="G10" s="25" t="inlineStr">
        <is>
          <t>Operations_Quarterly</t>
        </is>
      </c>
      <c r="H10" s="15">
        <f>'Operations_Quarterly'!G18</f>
        <v/>
      </c>
      <c r="I10" s="26">
        <f>'Operations_Quarterly'!H18</f>
        <v/>
      </c>
    </row>
    <row r="11">
      <c r="A11" s="11" t="inlineStr">
        <is>
          <t>Link</t>
        </is>
      </c>
      <c r="B11" s="25" t="inlineStr">
        <is>
          <t>Link_Monthly</t>
        </is>
      </c>
      <c r="C11" s="15">
        <f>'Link_Monthly'!G16</f>
        <v/>
      </c>
      <c r="D11" s="26">
        <f>'Link_Monthly'!H16</f>
        <v/>
      </c>
      <c r="F11" s="11" t="inlineStr">
        <is>
          <t>Link</t>
        </is>
      </c>
      <c r="G11" s="25" t="inlineStr">
        <is>
          <t>Link_Quarterly</t>
        </is>
      </c>
      <c r="H11" s="15">
        <f>'Link_Quarterly'!G16</f>
        <v/>
      </c>
      <c r="I11" s="26">
        <f>'Link_Quarterly'!H16</f>
        <v/>
      </c>
    </row>
    <row r="15">
      <c r="A15" s="19" t="inlineStr">
        <is>
          <t>대표용 메모</t>
        </is>
      </c>
    </row>
    <row r="16">
      <c r="A16" s="23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40" t="n"/>
    </row>
    <row r="17">
      <c r="A17" s="41" t="n"/>
      <c r="J17" s="42" t="n"/>
    </row>
    <row r="18">
      <c r="A18" s="41" t="n"/>
      <c r="J18" s="42" t="n"/>
    </row>
    <row r="19">
      <c r="A19" s="41" t="n"/>
      <c r="J19" s="42" t="n"/>
    </row>
    <row r="20">
      <c r="A20" s="43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5" t="n"/>
    </row>
  </sheetData>
  <mergeCells count="3">
    <mergeCell ref="A1:J1"/>
    <mergeCell ref="A16:J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2026-03-18T17:00:18Z</dcterms:created>
  <dcterms:modified xmlns:dcterms="http://purl.org/dc/terms/" xmlns:xsi="http://www.w3.org/2001/XMLSchema-instance" xsi:type="dcterms:W3CDTF">2026-03-18T17:07:09Z</dcterms:modified>
</cp:coreProperties>
</file>